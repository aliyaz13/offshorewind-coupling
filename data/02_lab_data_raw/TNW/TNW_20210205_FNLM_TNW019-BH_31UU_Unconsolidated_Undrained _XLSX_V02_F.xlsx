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01 UU\06 XLS_deliverables\"/>
    </mc:Choice>
  </mc:AlternateContent>
  <xr:revisionPtr revIDLastSave="0" documentId="13_ncr:1_{89757C1A-9AA5-4371-AC11-8D8EA347F1D6}" xr6:coauthVersionLast="45" xr6:coauthVersionMax="45" xr10:uidLastSave="{00000000-0000-0000-0000-000000000000}"/>
  <bookViews>
    <workbookView xWindow="-120" yWindow="-16320" windowWidth="29040" windowHeight="15840" xr2:uid="{333A1AD7-8D0A-4DCB-A296-636D2EE8A6CF}"/>
  </bookViews>
  <sheets>
    <sheet name="GENERAL" sheetId="1" r:id="rId1"/>
    <sheet name="UNDISTURBED" sheetId="2" r:id="rId2"/>
    <sheet name="REMOULDED" sheetId="3" r:id="rId3"/>
  </sheets>
  <externalReferences>
    <externalReference r:id="rId4"/>
    <externalReference r:id="rId5"/>
  </externalReferences>
  <definedNames>
    <definedName name="Bulk.Density">[1]CalcSheet!$C$22</definedName>
    <definedName name="Diameter">[1]CalcSheet!$C$16</definedName>
    <definedName name="Dry.Density">[2]CalcSheet!$C$23</definedName>
    <definedName name="Height">[1]CalcSheet!$C$17</definedName>
    <definedName name="Membrane.Thickness">[1]CalcSheet!$C$20</definedName>
    <definedName name="Rate.Of.Strain">[1]CalcSheet!$H$15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3" i="1" l="1"/>
  <c r="C12" i="1"/>
  <c r="C11" i="1"/>
  <c r="C10" i="1"/>
</calcChain>
</file>

<file path=xl/sharedStrings.xml><?xml version="1.0" encoding="utf-8"?>
<sst xmlns="http://schemas.openxmlformats.org/spreadsheetml/2006/main" count="46" uniqueCount="32">
  <si>
    <t>TEST IDENTIFICATION</t>
  </si>
  <si>
    <t>[m]</t>
  </si>
  <si>
    <t>[mm]</t>
  </si>
  <si>
    <t>Borehole:</t>
  </si>
  <si>
    <t>Sample:</t>
  </si>
  <si>
    <t>Depth:</t>
  </si>
  <si>
    <t>INITIAL</t>
  </si>
  <si>
    <t>Length</t>
  </si>
  <si>
    <t>Diameter</t>
  </si>
  <si>
    <t>Membrane thickness</t>
  </si>
  <si>
    <t>Rate of strain</t>
  </si>
  <si>
    <t>Bulk density</t>
  </si>
  <si>
    <t>Dry density</t>
  </si>
  <si>
    <t>Water content</t>
  </si>
  <si>
    <t>FAILURE</t>
  </si>
  <si>
    <t>Cell pressure</t>
  </si>
  <si>
    <t>Membrane correction</t>
  </si>
  <si>
    <t>Corrected deviator stress</t>
  </si>
  <si>
    <t>Strain at failure</t>
  </si>
  <si>
    <t>Undrained shear strength</t>
  </si>
  <si>
    <t>[%/min]</t>
  </si>
  <si>
    <t>[Mg/m³]</t>
  </si>
  <si>
    <t>[%]</t>
  </si>
  <si>
    <t>[kPa]</t>
  </si>
  <si>
    <t>Axial strain</t>
  </si>
  <si>
    <t>VISUAL DESCRIPTION</t>
  </si>
  <si>
    <t>SHEARING STAGE - UNDISTURBED</t>
  </si>
  <si>
    <t>Deviator stress</t>
  </si>
  <si>
    <t>UNDISTURBED</t>
  </si>
  <si>
    <t>REMOULDED</t>
  </si>
  <si>
    <t>TNW019-BH</t>
  </si>
  <si>
    <t>31UU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</si>
</sst>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0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7"/>
      <color indexed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6">
    <xf numFmtId="0" fontId="0" fillId="0" borderId="0" xfId="0"/>
    <xf numFmtId="2" fontId="4" fillId="0" borderId="0" xfId="1" applyNumberFormat="1" applyFont="1" applyBorder="1" applyAlignment="1">
      <alignment horizontal="left" vertical="top"/>
    </xf>
    <xf numFmtId="2" fontId="0" fillId="0" borderId="0" xfId="0" applyNumberFormat="1"/>
    <xf numFmtId="2" fontId="0" fillId="0" borderId="0" xfId="0" applyNumberFormat="1" applyAlignment="1">
      <alignment wrapText="1"/>
    </xf>
    <xf numFmtId="2" fontId="1" fillId="0" borderId="0" xfId="0" applyNumberFormat="1" applyFont="1" applyBorder="1" applyAlignment="1">
      <alignment horizontal="left"/>
    </xf>
    <xf numFmtId="2" fontId="2" fillId="0" borderId="0" xfId="0" applyNumberFormat="1" applyFont="1" applyAlignment="1"/>
    <xf numFmtId="2" fontId="0" fillId="0" borderId="0" xfId="0" applyNumberFormat="1" applyFont="1" applyBorder="1" applyAlignment="1">
      <alignment horizontal="left"/>
    </xf>
    <xf numFmtId="0" fontId="0" fillId="0" borderId="0" xfId="0" applyBorder="1"/>
    <xf numFmtId="0" fontId="0" fillId="0" borderId="0" xfId="0" applyFill="1" applyBorder="1"/>
    <xf numFmtId="0" fontId="5" fillId="0" borderId="0" xfId="0" applyFont="1" applyAlignment="1">
      <alignment horizontal="left" vertical="top"/>
    </xf>
    <xf numFmtId="2" fontId="6" fillId="0" borderId="0" xfId="0" applyNumberFormat="1" applyFont="1"/>
    <xf numFmtId="0" fontId="7" fillId="0" borderId="0" xfId="0" applyFont="1"/>
    <xf numFmtId="0" fontId="6" fillId="0" borderId="0" xfId="0" applyFont="1"/>
    <xf numFmtId="2" fontId="6" fillId="0" borderId="0" xfId="0" applyNumberFormat="1" applyFont="1" applyAlignment="1">
      <alignment wrapText="1"/>
    </xf>
    <xf numFmtId="2" fontId="6" fillId="0" borderId="0" xfId="0" applyNumberFormat="1" applyFont="1" applyAlignment="1">
      <alignment horizontal="left"/>
    </xf>
    <xf numFmtId="2" fontId="8" fillId="0" borderId="0" xfId="0" applyNumberFormat="1" applyFont="1"/>
    <xf numFmtId="0" fontId="7" fillId="0" borderId="0" xfId="1" applyFont="1"/>
    <xf numFmtId="2" fontId="8" fillId="0" borderId="0" xfId="0" applyNumberFormat="1" applyFont="1" applyAlignment="1">
      <alignment horizontal="center"/>
    </xf>
    <xf numFmtId="0" fontId="5" fillId="0" borderId="0" xfId="1" applyFont="1" applyAlignment="1">
      <alignment horizontal="center"/>
    </xf>
    <xf numFmtId="0" fontId="6" fillId="0" borderId="0" xfId="0" applyFont="1" applyAlignment="1">
      <alignment horizontal="left" vertical="top"/>
    </xf>
    <xf numFmtId="1" fontId="6" fillId="0" borderId="0" xfId="0" applyNumberFormat="1" applyFont="1"/>
    <xf numFmtId="2" fontId="6" fillId="0" borderId="0" xfId="0" applyNumberFormat="1" applyFont="1" applyBorder="1"/>
    <xf numFmtId="1" fontId="6" fillId="0" borderId="0" xfId="0" applyNumberFormat="1" applyFont="1" applyBorder="1"/>
    <xf numFmtId="2" fontId="5" fillId="0" borderId="0" xfId="1" applyNumberFormat="1" applyFont="1" applyAlignment="1">
      <alignment horizontal="left" vertical="top"/>
    </xf>
    <xf numFmtId="165" fontId="6" fillId="0" borderId="0" xfId="0" applyNumberFormat="1" applyFont="1" applyBorder="1"/>
    <xf numFmtId="0" fontId="6" fillId="0" borderId="0" xfId="0" applyFont="1" applyAlignment="1">
      <alignment horizontal="left"/>
    </xf>
    <xf numFmtId="1" fontId="8" fillId="0" borderId="0" xfId="0" applyNumberFormat="1" applyFont="1" applyBorder="1" applyAlignment="1">
      <alignment horizontal="center"/>
    </xf>
    <xf numFmtId="164" fontId="6" fillId="0" borderId="0" xfId="0" applyNumberFormat="1" applyFont="1" applyBorder="1"/>
    <xf numFmtId="2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164" fontId="7" fillId="0" borderId="0" xfId="0" applyNumberFormat="1" applyFont="1" applyFill="1" applyAlignment="1">
      <alignment horizontal="center"/>
    </xf>
    <xf numFmtId="0" fontId="7" fillId="0" borderId="0" xfId="0" applyFont="1" applyFill="1" applyAlignment="1">
      <alignment horizontal="center"/>
    </xf>
    <xf numFmtId="2" fontId="7" fillId="0" borderId="0" xfId="0" applyNumberFormat="1" applyFont="1" applyFill="1" applyAlignment="1">
      <alignment horizontal="center"/>
    </xf>
    <xf numFmtId="164" fontId="6" fillId="0" borderId="0" xfId="0" applyNumberFormat="1" applyFont="1" applyAlignment="1">
      <alignment horizontal="center"/>
    </xf>
    <xf numFmtId="2" fontId="6" fillId="0" borderId="0" xfId="0" applyNumberFormat="1" applyFont="1" applyBorder="1" applyAlignment="1">
      <alignment horizontal="center"/>
    </xf>
    <xf numFmtId="1" fontId="6" fillId="0" borderId="0" xfId="0" applyNumberFormat="1" applyFont="1" applyBorder="1" applyAlignment="1">
      <alignment horizontal="center"/>
    </xf>
    <xf numFmtId="165" fontId="6" fillId="0" borderId="0" xfId="0" applyNumberFormat="1" applyFont="1" applyBorder="1" applyAlignment="1">
      <alignment horizontal="center"/>
    </xf>
    <xf numFmtId="1" fontId="6" fillId="0" borderId="0" xfId="0" applyNumberFormat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166" fontId="7" fillId="0" borderId="0" xfId="1" applyNumberFormat="1" applyFont="1" applyAlignment="1">
      <alignment horizontal="center" vertical="top"/>
    </xf>
    <xf numFmtId="166" fontId="7" fillId="0" borderId="0" xfId="1" applyNumberFormat="1" applyFont="1" applyBorder="1" applyAlignment="1">
      <alignment horizontal="center" vertical="top" wrapText="1"/>
    </xf>
    <xf numFmtId="166" fontId="7" fillId="0" borderId="0" xfId="1" applyNumberFormat="1" applyFont="1" applyBorder="1" applyAlignment="1">
      <alignment horizontal="center" vertical="top"/>
    </xf>
    <xf numFmtId="2" fontId="7" fillId="0" borderId="0" xfId="0" applyNumberFormat="1" applyFont="1" applyFill="1" applyBorder="1" applyAlignment="1" applyProtection="1">
      <alignment horizontal="center"/>
      <protection hidden="1"/>
    </xf>
    <xf numFmtId="2" fontId="9" fillId="0" borderId="0" xfId="0" applyNumberFormat="1" applyFont="1" applyFill="1" applyBorder="1" applyAlignment="1" applyProtection="1">
      <alignment horizontal="center"/>
      <protection hidden="1"/>
    </xf>
    <xf numFmtId="166" fontId="7" fillId="0" borderId="0" xfId="1" applyNumberFormat="1" applyFont="1" applyFill="1" applyBorder="1" applyAlignment="1">
      <alignment horizontal="center" vertical="top"/>
    </xf>
    <xf numFmtId="2" fontId="2" fillId="0" borderId="0" xfId="0" applyNumberFormat="1" applyFont="1" applyAlignment="1">
      <alignment horizontal="center"/>
    </xf>
  </cellXfs>
  <cellStyles count="2">
    <cellStyle name="Normal" xfId="0" builtinId="0"/>
    <cellStyle name="Normal 2" xfId="1" xr:uid="{9087C49D-E0B1-4F3F-AB70-0792EC7FD3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2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02%20Project%20Management/P906/P906609%20RVO%20TNW%20WFZ%20Geotechnical%20SI/05%20Data/07%20Laboratory%20Test/05%20UU%20Triaxial/Phase%202%20-%20Downhole/02%20Offshore%20UU's/TNW015-BH/proc/4UUr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02%20Project%20Management/P906/P906609%20RVO%20TNW%20WFZ%20Geotechnical%20SI/05%20Data/07%20Laboratory%20Test/05%20UU%20Triaxial/Phase%202%20-%20Downhole/02%20Offshore%20UU's/TNW015-BH/proc/17UU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Sheet"/>
      <sheetName val="Copy Data"/>
      <sheetName val="AGS"/>
      <sheetName val="PLATE"/>
      <sheetName val="ModuleOffshoreData"/>
    </sheetNames>
    <sheetDataSet>
      <sheetData sheetId="0">
        <row r="15">
          <cell r="H15">
            <v>1</v>
          </cell>
        </row>
        <row r="16">
          <cell r="C16">
            <v>50</v>
          </cell>
        </row>
        <row r="17">
          <cell r="C17">
            <v>100</v>
          </cell>
        </row>
        <row r="20">
          <cell r="C20">
            <v>0.35</v>
          </cell>
        </row>
        <row r="22">
          <cell r="C22">
            <v>1.9455100243553287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Sheet"/>
      <sheetName val="Copy Data"/>
      <sheetName val="AGS"/>
      <sheetName val="PLATE"/>
      <sheetName val="ModuleOffshoreData"/>
    </sheetNames>
    <sheetDataSet>
      <sheetData sheetId="0">
        <row r="23">
          <cell r="C23">
            <v>1.6385272855018143</v>
          </cell>
        </row>
      </sheetData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dimension ref="A1:L2252"/>
  <sheetViews>
    <sheetView tabSelected="1" zoomScaleNormal="100" workbookViewId="0"/>
  </sheetViews>
  <sheetFormatPr defaultRowHeight="14.25" x14ac:dyDescent="0.25"/>
  <cols>
    <col min="1" max="1" width="26.140625" style="10" customWidth="1"/>
    <col min="2" max="2" width="18.7109375" style="28" customWidth="1"/>
    <col min="3" max="3" width="18.5703125" style="28" customWidth="1"/>
    <col min="4" max="4" width="9.140625" style="10"/>
    <col min="5" max="5" width="12.28515625" style="10" bestFit="1" customWidth="1"/>
    <col min="6" max="6" width="9.140625" style="2"/>
    <col min="7" max="10" width="13.140625" style="2" customWidth="1"/>
    <col min="11" max="15" width="13.7109375" style="2" customWidth="1"/>
    <col min="16" max="16384" width="9.140625" style="2"/>
  </cols>
  <sheetData>
    <row r="1" spans="1:12" x14ac:dyDescent="0.25">
      <c r="A1" s="9" t="s">
        <v>0</v>
      </c>
      <c r="G1" s="45"/>
      <c r="H1" s="45"/>
      <c r="I1" s="45"/>
      <c r="J1" s="45"/>
      <c r="K1" s="5"/>
      <c r="L1" s="5"/>
    </row>
    <row r="2" spans="1:12" s="3" customFormat="1" x14ac:dyDescent="0.25">
      <c r="A2" s="11" t="s">
        <v>3</v>
      </c>
      <c r="B2" s="29" t="s">
        <v>30</v>
      </c>
      <c r="C2" s="29"/>
      <c r="D2" s="13"/>
      <c r="E2" s="13"/>
    </row>
    <row r="3" spans="1:12" x14ac:dyDescent="0.25">
      <c r="A3" s="11" t="s">
        <v>4</v>
      </c>
      <c r="B3" s="29" t="s">
        <v>31</v>
      </c>
      <c r="C3" s="29"/>
      <c r="G3" s="6"/>
      <c r="H3" s="6"/>
      <c r="I3" s="6"/>
      <c r="J3" s="6"/>
      <c r="K3" s="1"/>
      <c r="L3" s="4"/>
    </row>
    <row r="4" spans="1:12" x14ac:dyDescent="0.25">
      <c r="A4" s="11" t="s">
        <v>5</v>
      </c>
      <c r="B4" s="29">
        <v>28.35</v>
      </c>
      <c r="C4" s="29"/>
      <c r="D4" s="14" t="s">
        <v>1</v>
      </c>
      <c r="K4"/>
    </row>
    <row r="5" spans="1:12" x14ac:dyDescent="0.25">
      <c r="A5" s="11"/>
      <c r="K5"/>
    </row>
    <row r="6" spans="1:12" x14ac:dyDescent="0.25">
      <c r="A6" s="15" t="s">
        <v>25</v>
      </c>
      <c r="E6" s="16"/>
      <c r="K6"/>
    </row>
    <row r="7" spans="1:12" x14ac:dyDescent="0.25">
      <c r="K7"/>
    </row>
    <row r="8" spans="1:12" x14ac:dyDescent="0.25">
      <c r="B8" s="17"/>
      <c r="C8" s="17"/>
      <c r="K8"/>
    </row>
    <row r="9" spans="1:12" x14ac:dyDescent="0.25">
      <c r="A9" s="9" t="s">
        <v>6</v>
      </c>
      <c r="B9" s="18" t="s">
        <v>28</v>
      </c>
      <c r="C9" s="18" t="s">
        <v>29</v>
      </c>
      <c r="D9" s="16"/>
      <c r="K9"/>
    </row>
    <row r="10" spans="1:12" x14ac:dyDescent="0.25">
      <c r="A10" s="12" t="s">
        <v>7</v>
      </c>
      <c r="B10" s="33">
        <v>140</v>
      </c>
      <c r="C10" s="30">
        <f>Height</f>
        <v>100</v>
      </c>
      <c r="D10" s="19" t="s">
        <v>2</v>
      </c>
      <c r="K10"/>
    </row>
    <row r="11" spans="1:12" x14ac:dyDescent="0.25">
      <c r="A11" s="12" t="s">
        <v>8</v>
      </c>
      <c r="B11" s="33">
        <v>72.099999999999994</v>
      </c>
      <c r="C11" s="30">
        <f>Diameter</f>
        <v>50</v>
      </c>
      <c r="D11" s="19" t="s">
        <v>2</v>
      </c>
      <c r="K11"/>
    </row>
    <row r="12" spans="1:12" x14ac:dyDescent="0.25">
      <c r="A12" s="12" t="s">
        <v>9</v>
      </c>
      <c r="B12" s="28">
        <v>0.35</v>
      </c>
      <c r="C12" s="31">
        <f>Membrane.Thickness</f>
        <v>0.35</v>
      </c>
      <c r="D12" s="19" t="s">
        <v>2</v>
      </c>
      <c r="E12" s="20"/>
      <c r="K12"/>
    </row>
    <row r="13" spans="1:12" x14ac:dyDescent="0.25">
      <c r="A13" s="12" t="s">
        <v>10</v>
      </c>
      <c r="B13" s="33">
        <v>1</v>
      </c>
      <c r="C13" s="30">
        <f>ROUND(Rate.Of.Strain, 2 - (1+INT(LOG10(ABS(Rate.Of.Strain)))))</f>
        <v>1</v>
      </c>
      <c r="D13" s="19" t="s">
        <v>20</v>
      </c>
      <c r="E13" s="20"/>
      <c r="K13"/>
    </row>
    <row r="14" spans="1:12" x14ac:dyDescent="0.25">
      <c r="A14" s="12" t="s">
        <v>11</v>
      </c>
      <c r="B14" s="28">
        <v>2.12</v>
      </c>
      <c r="C14" s="32">
        <v>2.1</v>
      </c>
      <c r="D14" s="19" t="s">
        <v>21</v>
      </c>
      <c r="E14" s="20"/>
      <c r="K14"/>
    </row>
    <row r="15" spans="1:12" x14ac:dyDescent="0.25">
      <c r="A15" s="12" t="s">
        <v>12</v>
      </c>
      <c r="B15" s="28">
        <v>1.78</v>
      </c>
      <c r="D15" s="19" t="s">
        <v>21</v>
      </c>
      <c r="E15" s="20"/>
      <c r="K15"/>
    </row>
    <row r="16" spans="1:12" x14ac:dyDescent="0.25">
      <c r="A16" s="12" t="s">
        <v>13</v>
      </c>
      <c r="B16" s="33">
        <v>19</v>
      </c>
      <c r="C16" s="33"/>
      <c r="D16" s="19" t="s">
        <v>22</v>
      </c>
      <c r="E16" s="20"/>
      <c r="K16"/>
    </row>
    <row r="17" spans="1:11" x14ac:dyDescent="0.25">
      <c r="A17" s="12"/>
      <c r="B17" s="34"/>
      <c r="C17" s="35"/>
      <c r="D17" s="19"/>
      <c r="E17" s="20"/>
      <c r="K17"/>
    </row>
    <row r="18" spans="1:11" x14ac:dyDescent="0.25">
      <c r="A18" s="23" t="s">
        <v>14</v>
      </c>
      <c r="B18" s="34"/>
      <c r="C18" s="36"/>
      <c r="D18" s="25"/>
      <c r="E18" s="26"/>
      <c r="K18"/>
    </row>
    <row r="19" spans="1:11" x14ac:dyDescent="0.25">
      <c r="A19" s="12" t="s">
        <v>15</v>
      </c>
      <c r="B19" s="37">
        <v>1000</v>
      </c>
      <c r="C19" s="37">
        <v>1000</v>
      </c>
      <c r="D19" s="19" t="s">
        <v>23</v>
      </c>
      <c r="E19" s="22"/>
      <c r="K19"/>
    </row>
    <row r="20" spans="1:11" x14ac:dyDescent="0.25">
      <c r="A20" s="12" t="s">
        <v>16</v>
      </c>
      <c r="B20" s="37">
        <v>2</v>
      </c>
      <c r="C20" s="37">
        <v>3</v>
      </c>
      <c r="D20" s="19" t="s">
        <v>22</v>
      </c>
      <c r="E20" s="24"/>
      <c r="K20"/>
    </row>
    <row r="21" spans="1:11" x14ac:dyDescent="0.25">
      <c r="A21" s="12" t="s">
        <v>17</v>
      </c>
      <c r="B21" s="33">
        <v>469.7</v>
      </c>
      <c r="C21" s="33">
        <v>355.8</v>
      </c>
      <c r="D21" s="19" t="s">
        <v>23</v>
      </c>
      <c r="E21" s="22"/>
      <c r="K21"/>
    </row>
    <row r="22" spans="1:11" x14ac:dyDescent="0.25">
      <c r="A22" s="12" t="s">
        <v>18</v>
      </c>
      <c r="B22" s="33">
        <v>18.3</v>
      </c>
      <c r="C22" s="33">
        <v>20</v>
      </c>
      <c r="D22" s="19" t="s">
        <v>22</v>
      </c>
      <c r="E22" s="21"/>
      <c r="K22"/>
    </row>
    <row r="23" spans="1:11" x14ac:dyDescent="0.25">
      <c r="A23" s="12" t="s">
        <v>19</v>
      </c>
      <c r="B23" s="33">
        <v>234.8</v>
      </c>
      <c r="C23" s="33">
        <v>177.7</v>
      </c>
      <c r="D23" s="19" t="s">
        <v>23</v>
      </c>
      <c r="E23" s="27"/>
      <c r="K23"/>
    </row>
    <row r="24" spans="1:11" x14ac:dyDescent="0.25">
      <c r="E24" s="27"/>
      <c r="K24"/>
    </row>
    <row r="25" spans="1:11" x14ac:dyDescent="0.25">
      <c r="K25"/>
    </row>
    <row r="26" spans="1:11" x14ac:dyDescent="0.25">
      <c r="K26"/>
    </row>
    <row r="27" spans="1:11" x14ac:dyDescent="0.25">
      <c r="K27"/>
    </row>
    <row r="28" spans="1:11" x14ac:dyDescent="0.25">
      <c r="K28"/>
    </row>
    <row r="29" spans="1:11" x14ac:dyDescent="0.25">
      <c r="K29"/>
    </row>
    <row r="30" spans="1:11" x14ac:dyDescent="0.25">
      <c r="K30"/>
    </row>
    <row r="31" spans="1:11" x14ac:dyDescent="0.25">
      <c r="K31"/>
    </row>
    <row r="32" spans="1:11" x14ac:dyDescent="0.25">
      <c r="K32"/>
    </row>
    <row r="33" spans="4:11" x14ac:dyDescent="0.25">
      <c r="K33"/>
    </row>
    <row r="34" spans="4:11" x14ac:dyDescent="0.25">
      <c r="K34"/>
    </row>
    <row r="35" spans="4:11" x14ac:dyDescent="0.25">
      <c r="K35"/>
    </row>
    <row r="36" spans="4:11" x14ac:dyDescent="0.25">
      <c r="K36"/>
    </row>
    <row r="37" spans="4:11" x14ac:dyDescent="0.25">
      <c r="K37"/>
    </row>
    <row r="38" spans="4:11" x14ac:dyDescent="0.25">
      <c r="K38"/>
    </row>
    <row r="39" spans="4:11" x14ac:dyDescent="0.25">
      <c r="K39"/>
    </row>
    <row r="40" spans="4:11" x14ac:dyDescent="0.25">
      <c r="D40" s="20"/>
      <c r="K40"/>
    </row>
    <row r="41" spans="4:11" x14ac:dyDescent="0.25">
      <c r="K41"/>
    </row>
    <row r="42" spans="4:11" x14ac:dyDescent="0.25">
      <c r="K42"/>
    </row>
    <row r="43" spans="4:11" x14ac:dyDescent="0.25">
      <c r="K43"/>
    </row>
    <row r="44" spans="4:11" x14ac:dyDescent="0.25">
      <c r="K44"/>
    </row>
    <row r="45" spans="4:11" x14ac:dyDescent="0.25">
      <c r="K45"/>
    </row>
    <row r="46" spans="4:11" x14ac:dyDescent="0.25">
      <c r="K46"/>
    </row>
    <row r="47" spans="4:11" x14ac:dyDescent="0.25">
      <c r="K47"/>
    </row>
    <row r="48" spans="4:11" x14ac:dyDescent="0.25">
      <c r="K48"/>
    </row>
    <row r="49" spans="11:11" x14ac:dyDescent="0.25">
      <c r="K49"/>
    </row>
    <row r="50" spans="11:11" x14ac:dyDescent="0.25">
      <c r="K50"/>
    </row>
    <row r="51" spans="11:11" x14ac:dyDescent="0.25">
      <c r="K51"/>
    </row>
    <row r="52" spans="11:11" x14ac:dyDescent="0.25">
      <c r="K52"/>
    </row>
    <row r="53" spans="11:11" x14ac:dyDescent="0.25">
      <c r="K53"/>
    </row>
    <row r="54" spans="11:11" x14ac:dyDescent="0.25">
      <c r="K54"/>
    </row>
    <row r="55" spans="11:11" x14ac:dyDescent="0.25">
      <c r="K55"/>
    </row>
    <row r="56" spans="11:11" x14ac:dyDescent="0.25">
      <c r="K56"/>
    </row>
    <row r="57" spans="11:11" x14ac:dyDescent="0.25">
      <c r="K57"/>
    </row>
    <row r="58" spans="11:11" x14ac:dyDescent="0.25">
      <c r="K58"/>
    </row>
    <row r="59" spans="11:11" x14ac:dyDescent="0.25">
      <c r="K59"/>
    </row>
    <row r="60" spans="11:11" x14ac:dyDescent="0.25">
      <c r="K60"/>
    </row>
    <row r="61" spans="11:11" x14ac:dyDescent="0.25">
      <c r="K61"/>
    </row>
    <row r="62" spans="11:11" x14ac:dyDescent="0.25">
      <c r="K62"/>
    </row>
    <row r="63" spans="11:11" x14ac:dyDescent="0.25">
      <c r="K63"/>
    </row>
    <row r="64" spans="11:11" x14ac:dyDescent="0.25">
      <c r="K64"/>
    </row>
    <row r="65" spans="11:11" x14ac:dyDescent="0.25">
      <c r="K65"/>
    </row>
    <row r="66" spans="11:11" x14ac:dyDescent="0.25">
      <c r="K66"/>
    </row>
    <row r="67" spans="11:11" x14ac:dyDescent="0.25">
      <c r="K67"/>
    </row>
    <row r="68" spans="11:11" x14ac:dyDescent="0.25">
      <c r="K68"/>
    </row>
    <row r="69" spans="11:11" x14ac:dyDescent="0.25">
      <c r="K69"/>
    </row>
    <row r="70" spans="11:11" x14ac:dyDescent="0.25">
      <c r="K70"/>
    </row>
    <row r="71" spans="11:11" x14ac:dyDescent="0.25">
      <c r="K71"/>
    </row>
    <row r="72" spans="11:11" x14ac:dyDescent="0.25">
      <c r="K72"/>
    </row>
    <row r="73" spans="11:11" x14ac:dyDescent="0.25">
      <c r="K73"/>
    </row>
    <row r="74" spans="11:11" x14ac:dyDescent="0.25">
      <c r="K74"/>
    </row>
    <row r="75" spans="11:11" x14ac:dyDescent="0.25">
      <c r="K75"/>
    </row>
    <row r="76" spans="11:11" x14ac:dyDescent="0.25">
      <c r="K76"/>
    </row>
    <row r="77" spans="11:11" x14ac:dyDescent="0.25">
      <c r="K77"/>
    </row>
    <row r="78" spans="11:11" x14ac:dyDescent="0.25">
      <c r="K78"/>
    </row>
    <row r="79" spans="11:11" x14ac:dyDescent="0.25">
      <c r="K79"/>
    </row>
    <row r="80" spans="11:11" x14ac:dyDescent="0.25">
      <c r="K80"/>
    </row>
    <row r="81" spans="11:11" x14ac:dyDescent="0.25">
      <c r="K81"/>
    </row>
    <row r="82" spans="11:11" x14ac:dyDescent="0.25">
      <c r="K82"/>
    </row>
    <row r="83" spans="11:11" x14ac:dyDescent="0.25">
      <c r="K83"/>
    </row>
    <row r="84" spans="11:11" x14ac:dyDescent="0.25">
      <c r="K84"/>
    </row>
    <row r="85" spans="11:11" x14ac:dyDescent="0.25">
      <c r="K85"/>
    </row>
    <row r="86" spans="11:11" x14ac:dyDescent="0.25">
      <c r="K86"/>
    </row>
    <row r="87" spans="11:11" x14ac:dyDescent="0.25">
      <c r="K87"/>
    </row>
    <row r="88" spans="11:11" x14ac:dyDescent="0.25">
      <c r="K88"/>
    </row>
    <row r="89" spans="11:11" x14ac:dyDescent="0.25">
      <c r="K89"/>
    </row>
    <row r="90" spans="11:11" x14ac:dyDescent="0.25">
      <c r="K90"/>
    </row>
    <row r="91" spans="11:11" x14ac:dyDescent="0.25">
      <c r="K91"/>
    </row>
    <row r="92" spans="11:11" x14ac:dyDescent="0.25">
      <c r="K92"/>
    </row>
    <row r="93" spans="11:11" x14ac:dyDescent="0.25">
      <c r="K93"/>
    </row>
    <row r="94" spans="11:11" x14ac:dyDescent="0.25">
      <c r="K94"/>
    </row>
    <row r="95" spans="11:11" x14ac:dyDescent="0.25">
      <c r="K95"/>
    </row>
    <row r="96" spans="11:11" x14ac:dyDescent="0.25">
      <c r="K96"/>
    </row>
    <row r="97" spans="11:11" x14ac:dyDescent="0.25">
      <c r="K97"/>
    </row>
    <row r="98" spans="11:11" x14ac:dyDescent="0.25">
      <c r="K98"/>
    </row>
    <row r="99" spans="11:11" x14ac:dyDescent="0.25">
      <c r="K99"/>
    </row>
    <row r="100" spans="11:11" x14ac:dyDescent="0.25">
      <c r="K100"/>
    </row>
    <row r="101" spans="11:11" x14ac:dyDescent="0.25">
      <c r="K101"/>
    </row>
    <row r="102" spans="11:11" x14ac:dyDescent="0.25">
      <c r="K102"/>
    </row>
    <row r="103" spans="11:11" x14ac:dyDescent="0.25">
      <c r="K103"/>
    </row>
    <row r="104" spans="11:11" x14ac:dyDescent="0.25">
      <c r="K104"/>
    </row>
    <row r="105" spans="11:11" x14ac:dyDescent="0.25">
      <c r="K105"/>
    </row>
    <row r="106" spans="11:11" x14ac:dyDescent="0.25">
      <c r="K106"/>
    </row>
    <row r="107" spans="11:11" x14ac:dyDescent="0.25">
      <c r="K107"/>
    </row>
    <row r="108" spans="11:11" x14ac:dyDescent="0.25">
      <c r="K108"/>
    </row>
    <row r="109" spans="11:11" x14ac:dyDescent="0.25">
      <c r="K109"/>
    </row>
    <row r="110" spans="11:11" x14ac:dyDescent="0.25">
      <c r="K110"/>
    </row>
    <row r="111" spans="11:11" x14ac:dyDescent="0.25">
      <c r="K111"/>
    </row>
    <row r="112" spans="11:11" x14ac:dyDescent="0.25">
      <c r="K112"/>
    </row>
    <row r="113" spans="11:11" x14ac:dyDescent="0.25">
      <c r="K113"/>
    </row>
    <row r="114" spans="11:11" x14ac:dyDescent="0.25">
      <c r="K114"/>
    </row>
    <row r="115" spans="11:11" x14ac:dyDescent="0.25">
      <c r="K115"/>
    </row>
    <row r="116" spans="11:11" x14ac:dyDescent="0.25">
      <c r="K116"/>
    </row>
    <row r="117" spans="11:11" x14ac:dyDescent="0.25">
      <c r="K117"/>
    </row>
    <row r="118" spans="11:11" x14ac:dyDescent="0.25">
      <c r="K118"/>
    </row>
    <row r="119" spans="11:11" x14ac:dyDescent="0.25">
      <c r="K119"/>
    </row>
    <row r="120" spans="11:11" x14ac:dyDescent="0.25">
      <c r="K120"/>
    </row>
    <row r="121" spans="11:11" x14ac:dyDescent="0.25">
      <c r="K121"/>
    </row>
    <row r="122" spans="11:11" x14ac:dyDescent="0.25">
      <c r="K122"/>
    </row>
    <row r="123" spans="11:11" x14ac:dyDescent="0.25">
      <c r="K123"/>
    </row>
    <row r="124" spans="11:11" x14ac:dyDescent="0.25">
      <c r="K124"/>
    </row>
    <row r="125" spans="11:11" x14ac:dyDescent="0.25">
      <c r="K125"/>
    </row>
    <row r="126" spans="11:11" x14ac:dyDescent="0.25">
      <c r="K126"/>
    </row>
    <row r="127" spans="11:11" x14ac:dyDescent="0.25">
      <c r="K127"/>
    </row>
    <row r="128" spans="11:11" x14ac:dyDescent="0.25">
      <c r="K128"/>
    </row>
    <row r="129" spans="11:11" x14ac:dyDescent="0.25">
      <c r="K129"/>
    </row>
    <row r="130" spans="11:11" x14ac:dyDescent="0.25">
      <c r="K130"/>
    </row>
    <row r="131" spans="11:11" x14ac:dyDescent="0.25">
      <c r="K131"/>
    </row>
    <row r="132" spans="11:11" x14ac:dyDescent="0.25">
      <c r="K132"/>
    </row>
    <row r="133" spans="11:11" x14ac:dyDescent="0.25">
      <c r="K133"/>
    </row>
    <row r="134" spans="11:11" x14ac:dyDescent="0.25">
      <c r="K134"/>
    </row>
    <row r="135" spans="11:11" x14ac:dyDescent="0.25">
      <c r="K135"/>
    </row>
    <row r="136" spans="11:11" x14ac:dyDescent="0.25">
      <c r="K136"/>
    </row>
    <row r="137" spans="11:11" x14ac:dyDescent="0.25">
      <c r="K137"/>
    </row>
    <row r="138" spans="11:11" x14ac:dyDescent="0.25">
      <c r="K138"/>
    </row>
    <row r="139" spans="11:11" x14ac:dyDescent="0.25">
      <c r="K139"/>
    </row>
    <row r="140" spans="11:11" x14ac:dyDescent="0.25">
      <c r="K140"/>
    </row>
    <row r="141" spans="11:11" x14ac:dyDescent="0.25">
      <c r="K141"/>
    </row>
    <row r="142" spans="11:11" x14ac:dyDescent="0.25">
      <c r="K142"/>
    </row>
    <row r="143" spans="11:11" x14ac:dyDescent="0.25">
      <c r="K143"/>
    </row>
    <row r="144" spans="11:11" x14ac:dyDescent="0.25">
      <c r="K144"/>
    </row>
    <row r="145" spans="11:11" x14ac:dyDescent="0.25">
      <c r="K145"/>
    </row>
    <row r="146" spans="11:11" x14ac:dyDescent="0.25">
      <c r="K146"/>
    </row>
    <row r="147" spans="11:11" x14ac:dyDescent="0.25">
      <c r="K147"/>
    </row>
    <row r="148" spans="11:11" x14ac:dyDescent="0.25">
      <c r="K148"/>
    </row>
    <row r="149" spans="11:11" x14ac:dyDescent="0.25">
      <c r="K149"/>
    </row>
    <row r="150" spans="11:11" x14ac:dyDescent="0.25">
      <c r="K150"/>
    </row>
    <row r="151" spans="11:11" x14ac:dyDescent="0.25">
      <c r="K151"/>
    </row>
    <row r="152" spans="11:11" x14ac:dyDescent="0.25">
      <c r="K152"/>
    </row>
    <row r="153" spans="11:11" x14ac:dyDescent="0.25">
      <c r="K153"/>
    </row>
    <row r="154" spans="11:11" x14ac:dyDescent="0.25">
      <c r="K154"/>
    </row>
    <row r="155" spans="11:11" x14ac:dyDescent="0.25">
      <c r="K155"/>
    </row>
    <row r="156" spans="11:11" x14ac:dyDescent="0.25">
      <c r="K156"/>
    </row>
    <row r="157" spans="11:11" x14ac:dyDescent="0.25">
      <c r="K157"/>
    </row>
    <row r="158" spans="11:11" x14ac:dyDescent="0.25">
      <c r="K158"/>
    </row>
    <row r="159" spans="11:11" x14ac:dyDescent="0.25">
      <c r="K159"/>
    </row>
    <row r="160" spans="11:11" x14ac:dyDescent="0.25">
      <c r="K160"/>
    </row>
    <row r="161" spans="11:11" x14ac:dyDescent="0.25">
      <c r="K161"/>
    </row>
    <row r="162" spans="11:11" x14ac:dyDescent="0.25">
      <c r="K162"/>
    </row>
    <row r="163" spans="11:11" x14ac:dyDescent="0.25">
      <c r="K163"/>
    </row>
    <row r="164" spans="11:11" x14ac:dyDescent="0.25">
      <c r="K164"/>
    </row>
    <row r="165" spans="11:11" x14ac:dyDescent="0.25">
      <c r="K165"/>
    </row>
    <row r="166" spans="11:11" x14ac:dyDescent="0.25">
      <c r="K166"/>
    </row>
    <row r="167" spans="11:11" x14ac:dyDescent="0.25">
      <c r="K167"/>
    </row>
    <row r="168" spans="11:11" x14ac:dyDescent="0.25">
      <c r="K168"/>
    </row>
    <row r="169" spans="11:11" x14ac:dyDescent="0.25">
      <c r="K169"/>
    </row>
    <row r="170" spans="11:11" x14ac:dyDescent="0.25">
      <c r="K170"/>
    </row>
    <row r="171" spans="11:11" x14ac:dyDescent="0.25">
      <c r="K171"/>
    </row>
    <row r="172" spans="11:11" x14ac:dyDescent="0.25">
      <c r="K172"/>
    </row>
    <row r="173" spans="11:11" x14ac:dyDescent="0.25">
      <c r="K173"/>
    </row>
    <row r="174" spans="11:11" x14ac:dyDescent="0.25">
      <c r="K174"/>
    </row>
    <row r="175" spans="11:11" x14ac:dyDescent="0.25">
      <c r="K175"/>
    </row>
    <row r="176" spans="11:11" x14ac:dyDescent="0.25">
      <c r="K176"/>
    </row>
    <row r="177" spans="11:11" x14ac:dyDescent="0.25">
      <c r="K177"/>
    </row>
    <row r="178" spans="11:11" x14ac:dyDescent="0.25">
      <c r="K178"/>
    </row>
    <row r="179" spans="11:11" x14ac:dyDescent="0.25">
      <c r="K179"/>
    </row>
    <row r="180" spans="11:11" x14ac:dyDescent="0.25">
      <c r="K180"/>
    </row>
    <row r="181" spans="11:11" x14ac:dyDescent="0.25">
      <c r="K181"/>
    </row>
    <row r="182" spans="11:11" x14ac:dyDescent="0.25">
      <c r="K182"/>
    </row>
    <row r="183" spans="11:11" x14ac:dyDescent="0.25">
      <c r="K183"/>
    </row>
    <row r="184" spans="11:11" x14ac:dyDescent="0.25">
      <c r="K184"/>
    </row>
    <row r="185" spans="11:11" x14ac:dyDescent="0.25">
      <c r="K185"/>
    </row>
    <row r="186" spans="11:11" x14ac:dyDescent="0.25">
      <c r="K186"/>
    </row>
    <row r="187" spans="11:11" x14ac:dyDescent="0.25">
      <c r="K187"/>
    </row>
    <row r="188" spans="11:11" x14ac:dyDescent="0.25">
      <c r="K188"/>
    </row>
    <row r="189" spans="11:11" x14ac:dyDescent="0.25">
      <c r="K189"/>
    </row>
    <row r="190" spans="11:11" x14ac:dyDescent="0.25">
      <c r="K190"/>
    </row>
    <row r="191" spans="11:11" x14ac:dyDescent="0.25">
      <c r="K191"/>
    </row>
    <row r="192" spans="11:11" x14ac:dyDescent="0.25">
      <c r="K192"/>
    </row>
    <row r="193" spans="11:11" x14ac:dyDescent="0.25">
      <c r="K193"/>
    </row>
    <row r="194" spans="11:11" x14ac:dyDescent="0.25">
      <c r="K194"/>
    </row>
    <row r="195" spans="11:11" x14ac:dyDescent="0.25">
      <c r="K195"/>
    </row>
    <row r="196" spans="11:11" x14ac:dyDescent="0.25">
      <c r="K196"/>
    </row>
    <row r="197" spans="11:11" x14ac:dyDescent="0.25">
      <c r="K197"/>
    </row>
    <row r="198" spans="11:11" x14ac:dyDescent="0.25">
      <c r="K198"/>
    </row>
    <row r="199" spans="11:11" x14ac:dyDescent="0.25">
      <c r="K199"/>
    </row>
    <row r="200" spans="11:11" x14ac:dyDescent="0.25">
      <c r="K200"/>
    </row>
    <row r="201" spans="11:11" x14ac:dyDescent="0.25">
      <c r="K201"/>
    </row>
    <row r="202" spans="11:11" x14ac:dyDescent="0.25">
      <c r="K202"/>
    </row>
    <row r="203" spans="11:11" x14ac:dyDescent="0.25">
      <c r="K203"/>
    </row>
    <row r="204" spans="11:11" x14ac:dyDescent="0.25">
      <c r="K204"/>
    </row>
    <row r="205" spans="11:11" x14ac:dyDescent="0.25">
      <c r="K205"/>
    </row>
    <row r="206" spans="11:11" x14ac:dyDescent="0.25">
      <c r="K206"/>
    </row>
    <row r="207" spans="11:11" x14ac:dyDescent="0.25">
      <c r="K207"/>
    </row>
    <row r="208" spans="11:11" x14ac:dyDescent="0.25">
      <c r="K208"/>
    </row>
    <row r="209" spans="11:11" x14ac:dyDescent="0.25">
      <c r="K209"/>
    </row>
    <row r="210" spans="11:11" x14ac:dyDescent="0.25">
      <c r="K210"/>
    </row>
    <row r="211" spans="11:11" x14ac:dyDescent="0.25">
      <c r="K211"/>
    </row>
    <row r="212" spans="11:11" x14ac:dyDescent="0.25">
      <c r="K212"/>
    </row>
    <row r="213" spans="11:11" x14ac:dyDescent="0.25">
      <c r="K213"/>
    </row>
    <row r="214" spans="11:11" x14ac:dyDescent="0.25">
      <c r="K214"/>
    </row>
    <row r="215" spans="11:11" x14ac:dyDescent="0.25">
      <c r="K215"/>
    </row>
    <row r="216" spans="11:11" x14ac:dyDescent="0.25">
      <c r="K216"/>
    </row>
    <row r="217" spans="11:11" x14ac:dyDescent="0.25">
      <c r="K217"/>
    </row>
    <row r="218" spans="11:11" x14ac:dyDescent="0.25">
      <c r="K218"/>
    </row>
    <row r="219" spans="11:11" x14ac:dyDescent="0.25">
      <c r="K219"/>
    </row>
    <row r="220" spans="11:11" x14ac:dyDescent="0.25">
      <c r="K220"/>
    </row>
    <row r="221" spans="11:11" x14ac:dyDescent="0.25">
      <c r="K221"/>
    </row>
    <row r="222" spans="11:11" x14ac:dyDescent="0.25">
      <c r="K222"/>
    </row>
    <row r="223" spans="11:11" x14ac:dyDescent="0.25">
      <c r="K223"/>
    </row>
    <row r="224" spans="11:11" x14ac:dyDescent="0.25">
      <c r="K224"/>
    </row>
    <row r="225" spans="11:11" x14ac:dyDescent="0.25">
      <c r="K225"/>
    </row>
    <row r="226" spans="11:11" x14ac:dyDescent="0.25">
      <c r="K226"/>
    </row>
    <row r="227" spans="11:11" x14ac:dyDescent="0.25">
      <c r="K227"/>
    </row>
    <row r="228" spans="11:11" x14ac:dyDescent="0.25">
      <c r="K228"/>
    </row>
    <row r="229" spans="11:11" x14ac:dyDescent="0.25">
      <c r="K229"/>
    </row>
    <row r="230" spans="11:11" x14ac:dyDescent="0.25">
      <c r="K230"/>
    </row>
    <row r="231" spans="11:11" x14ac:dyDescent="0.25">
      <c r="K231"/>
    </row>
    <row r="232" spans="11:11" x14ac:dyDescent="0.25">
      <c r="K232"/>
    </row>
    <row r="233" spans="11:11" x14ac:dyDescent="0.25">
      <c r="K233"/>
    </row>
    <row r="234" spans="11:11" x14ac:dyDescent="0.25">
      <c r="K234"/>
    </row>
    <row r="235" spans="11:11" x14ac:dyDescent="0.25">
      <c r="K235"/>
    </row>
    <row r="236" spans="11:11" x14ac:dyDescent="0.25">
      <c r="K236"/>
    </row>
    <row r="237" spans="11:11" x14ac:dyDescent="0.25">
      <c r="K237"/>
    </row>
    <row r="238" spans="11:11" x14ac:dyDescent="0.25">
      <c r="K238"/>
    </row>
    <row r="239" spans="11:11" x14ac:dyDescent="0.25">
      <c r="K239"/>
    </row>
    <row r="240" spans="11:11" x14ac:dyDescent="0.25">
      <c r="K240"/>
    </row>
    <row r="241" spans="11:11" x14ac:dyDescent="0.25">
      <c r="K241"/>
    </row>
    <row r="242" spans="11:11" x14ac:dyDescent="0.25">
      <c r="K242"/>
    </row>
    <row r="243" spans="11:11" x14ac:dyDescent="0.25">
      <c r="K243"/>
    </row>
    <row r="244" spans="11:11" x14ac:dyDescent="0.25">
      <c r="K244"/>
    </row>
    <row r="245" spans="11:11" x14ac:dyDescent="0.25">
      <c r="K245"/>
    </row>
    <row r="246" spans="11:11" x14ac:dyDescent="0.25">
      <c r="K246"/>
    </row>
    <row r="247" spans="11:11" x14ac:dyDescent="0.25">
      <c r="K247"/>
    </row>
    <row r="248" spans="11:11" x14ac:dyDescent="0.25">
      <c r="K248"/>
    </row>
    <row r="249" spans="11:11" x14ac:dyDescent="0.25">
      <c r="K249"/>
    </row>
    <row r="250" spans="11:11" x14ac:dyDescent="0.25">
      <c r="K250"/>
    </row>
    <row r="251" spans="11:11" x14ac:dyDescent="0.25">
      <c r="K251"/>
    </row>
    <row r="252" spans="11:11" x14ac:dyDescent="0.25">
      <c r="K252"/>
    </row>
    <row r="253" spans="11:11" x14ac:dyDescent="0.25">
      <c r="K253"/>
    </row>
    <row r="254" spans="11:11" x14ac:dyDescent="0.25">
      <c r="K254"/>
    </row>
    <row r="255" spans="11:11" x14ac:dyDescent="0.25">
      <c r="K255"/>
    </row>
    <row r="256" spans="11:11" x14ac:dyDescent="0.25">
      <c r="K256"/>
    </row>
    <row r="257" spans="11:11" x14ac:dyDescent="0.25">
      <c r="K257"/>
    </row>
    <row r="258" spans="11:11" x14ac:dyDescent="0.25">
      <c r="K258"/>
    </row>
    <row r="259" spans="11:11" x14ac:dyDescent="0.25">
      <c r="K259"/>
    </row>
    <row r="260" spans="11:11" x14ac:dyDescent="0.25">
      <c r="K260"/>
    </row>
    <row r="261" spans="11:11" x14ac:dyDescent="0.25">
      <c r="K261"/>
    </row>
    <row r="262" spans="11:11" x14ac:dyDescent="0.25">
      <c r="K262"/>
    </row>
    <row r="263" spans="11:11" x14ac:dyDescent="0.25">
      <c r="K263"/>
    </row>
    <row r="264" spans="11:11" x14ac:dyDescent="0.25">
      <c r="K264"/>
    </row>
    <row r="265" spans="11:11" x14ac:dyDescent="0.25">
      <c r="K265"/>
    </row>
    <row r="266" spans="11:11" x14ac:dyDescent="0.25">
      <c r="K266"/>
    </row>
    <row r="267" spans="11:11" x14ac:dyDescent="0.25">
      <c r="K267"/>
    </row>
    <row r="268" spans="11:11" x14ac:dyDescent="0.25">
      <c r="K268"/>
    </row>
    <row r="269" spans="11:11" x14ac:dyDescent="0.25">
      <c r="K269"/>
    </row>
    <row r="270" spans="11:11" x14ac:dyDescent="0.25">
      <c r="K270"/>
    </row>
    <row r="271" spans="11:11" x14ac:dyDescent="0.25">
      <c r="K271"/>
    </row>
    <row r="272" spans="11:11" x14ac:dyDescent="0.25">
      <c r="K272"/>
    </row>
    <row r="273" spans="11:11" x14ac:dyDescent="0.25">
      <c r="K273"/>
    </row>
    <row r="274" spans="11:11" x14ac:dyDescent="0.25">
      <c r="K274"/>
    </row>
    <row r="275" spans="11:11" x14ac:dyDescent="0.25">
      <c r="K275"/>
    </row>
    <row r="276" spans="11:11" x14ac:dyDescent="0.25">
      <c r="K276"/>
    </row>
    <row r="277" spans="11:11" x14ac:dyDescent="0.25">
      <c r="K277"/>
    </row>
    <row r="278" spans="11:11" x14ac:dyDescent="0.25">
      <c r="K278"/>
    </row>
    <row r="279" spans="11:11" x14ac:dyDescent="0.25">
      <c r="K279"/>
    </row>
    <row r="280" spans="11:11" x14ac:dyDescent="0.25">
      <c r="K280"/>
    </row>
    <row r="281" spans="11:11" x14ac:dyDescent="0.25">
      <c r="K281"/>
    </row>
    <row r="282" spans="11:11" x14ac:dyDescent="0.25">
      <c r="K282"/>
    </row>
    <row r="283" spans="11:11" x14ac:dyDescent="0.25">
      <c r="K283"/>
    </row>
    <row r="284" spans="11:11" x14ac:dyDescent="0.25">
      <c r="K284"/>
    </row>
    <row r="285" spans="11:11" x14ac:dyDescent="0.25">
      <c r="K285"/>
    </row>
    <row r="286" spans="11:11" x14ac:dyDescent="0.25">
      <c r="K286"/>
    </row>
    <row r="287" spans="11:11" x14ac:dyDescent="0.25">
      <c r="K287"/>
    </row>
    <row r="288" spans="11:11" x14ac:dyDescent="0.25">
      <c r="K288"/>
    </row>
    <row r="289" spans="11:11" x14ac:dyDescent="0.25">
      <c r="K289"/>
    </row>
    <row r="290" spans="11:11" x14ac:dyDescent="0.25">
      <c r="K290"/>
    </row>
    <row r="291" spans="11:11" x14ac:dyDescent="0.25">
      <c r="K291"/>
    </row>
    <row r="292" spans="11:11" x14ac:dyDescent="0.25">
      <c r="K292"/>
    </row>
    <row r="293" spans="11:11" x14ac:dyDescent="0.25">
      <c r="K293"/>
    </row>
    <row r="294" spans="11:11" x14ac:dyDescent="0.25">
      <c r="K294"/>
    </row>
    <row r="295" spans="11:11" x14ac:dyDescent="0.25">
      <c r="K295"/>
    </row>
    <row r="296" spans="11:11" x14ac:dyDescent="0.25">
      <c r="K296"/>
    </row>
    <row r="297" spans="11:11" x14ac:dyDescent="0.25">
      <c r="K297"/>
    </row>
    <row r="298" spans="11:11" x14ac:dyDescent="0.25">
      <c r="K298"/>
    </row>
    <row r="299" spans="11:11" x14ac:dyDescent="0.25">
      <c r="K299"/>
    </row>
    <row r="300" spans="11:11" x14ac:dyDescent="0.25">
      <c r="K300"/>
    </row>
    <row r="301" spans="11:11" x14ac:dyDescent="0.25">
      <c r="K301"/>
    </row>
    <row r="302" spans="11:11" x14ac:dyDescent="0.25">
      <c r="K302"/>
    </row>
    <row r="303" spans="11:11" x14ac:dyDescent="0.25">
      <c r="K303"/>
    </row>
    <row r="304" spans="11:11" x14ac:dyDescent="0.25">
      <c r="K304"/>
    </row>
    <row r="305" spans="11:11" x14ac:dyDescent="0.25">
      <c r="K305"/>
    </row>
    <row r="306" spans="11:11" x14ac:dyDescent="0.25">
      <c r="K306"/>
    </row>
    <row r="307" spans="11:11" x14ac:dyDescent="0.25">
      <c r="K307"/>
    </row>
    <row r="308" spans="11:11" x14ac:dyDescent="0.25">
      <c r="K308"/>
    </row>
    <row r="309" spans="11:11" x14ac:dyDescent="0.25">
      <c r="K309"/>
    </row>
    <row r="310" spans="11:11" x14ac:dyDescent="0.25">
      <c r="K310"/>
    </row>
    <row r="311" spans="11:11" x14ac:dyDescent="0.25">
      <c r="K311"/>
    </row>
    <row r="312" spans="11:11" x14ac:dyDescent="0.25">
      <c r="K312"/>
    </row>
    <row r="313" spans="11:11" x14ac:dyDescent="0.25">
      <c r="K313"/>
    </row>
    <row r="314" spans="11:11" x14ac:dyDescent="0.25">
      <c r="K314"/>
    </row>
    <row r="315" spans="11:11" x14ac:dyDescent="0.25">
      <c r="K315"/>
    </row>
    <row r="316" spans="11:11" x14ac:dyDescent="0.25">
      <c r="K316"/>
    </row>
    <row r="317" spans="11:11" x14ac:dyDescent="0.25">
      <c r="K317"/>
    </row>
    <row r="318" spans="11:11" x14ac:dyDescent="0.25">
      <c r="K318"/>
    </row>
    <row r="319" spans="11:11" x14ac:dyDescent="0.25">
      <c r="K319"/>
    </row>
    <row r="320" spans="11:11" x14ac:dyDescent="0.25">
      <c r="K320"/>
    </row>
    <row r="321" spans="11:11" x14ac:dyDescent="0.25">
      <c r="K321"/>
    </row>
    <row r="322" spans="11:11" x14ac:dyDescent="0.25">
      <c r="K322"/>
    </row>
    <row r="323" spans="11:11" x14ac:dyDescent="0.25">
      <c r="K323"/>
    </row>
    <row r="324" spans="11:11" x14ac:dyDescent="0.25">
      <c r="K324"/>
    </row>
    <row r="325" spans="11:11" x14ac:dyDescent="0.25">
      <c r="K325"/>
    </row>
    <row r="326" spans="11:11" x14ac:dyDescent="0.25">
      <c r="K326"/>
    </row>
    <row r="327" spans="11:11" x14ac:dyDescent="0.25">
      <c r="K327"/>
    </row>
    <row r="328" spans="11:11" x14ac:dyDescent="0.25">
      <c r="K328"/>
    </row>
    <row r="329" spans="11:11" x14ac:dyDescent="0.25">
      <c r="K329"/>
    </row>
    <row r="330" spans="11:11" x14ac:dyDescent="0.25">
      <c r="K330"/>
    </row>
    <row r="331" spans="11:11" x14ac:dyDescent="0.25">
      <c r="K331"/>
    </row>
    <row r="332" spans="11:11" x14ac:dyDescent="0.25">
      <c r="K332"/>
    </row>
    <row r="333" spans="11:11" x14ac:dyDescent="0.25">
      <c r="K333"/>
    </row>
    <row r="334" spans="11:11" x14ac:dyDescent="0.25">
      <c r="K334"/>
    </row>
    <row r="335" spans="11:11" x14ac:dyDescent="0.25">
      <c r="K335"/>
    </row>
    <row r="336" spans="11:11" x14ac:dyDescent="0.25">
      <c r="K336"/>
    </row>
    <row r="337" spans="11:11" x14ac:dyDescent="0.25">
      <c r="K337"/>
    </row>
    <row r="338" spans="11:11" x14ac:dyDescent="0.25">
      <c r="K338"/>
    </row>
    <row r="339" spans="11:11" x14ac:dyDescent="0.25">
      <c r="K339"/>
    </row>
    <row r="340" spans="11:11" x14ac:dyDescent="0.25">
      <c r="K340"/>
    </row>
    <row r="341" spans="11:11" x14ac:dyDescent="0.25">
      <c r="K341"/>
    </row>
    <row r="342" spans="11:11" x14ac:dyDescent="0.25">
      <c r="K342"/>
    </row>
    <row r="343" spans="11:11" x14ac:dyDescent="0.25">
      <c r="K343"/>
    </row>
    <row r="344" spans="11:11" x14ac:dyDescent="0.25">
      <c r="K344"/>
    </row>
    <row r="345" spans="11:11" x14ac:dyDescent="0.25">
      <c r="K345"/>
    </row>
    <row r="346" spans="11:11" x14ac:dyDescent="0.25">
      <c r="K346"/>
    </row>
    <row r="347" spans="11:11" x14ac:dyDescent="0.25">
      <c r="K347"/>
    </row>
    <row r="348" spans="11:11" x14ac:dyDescent="0.25">
      <c r="K348"/>
    </row>
    <row r="349" spans="11:11" x14ac:dyDescent="0.25">
      <c r="K349"/>
    </row>
    <row r="350" spans="11:11" x14ac:dyDescent="0.25">
      <c r="K350"/>
    </row>
    <row r="351" spans="11:11" x14ac:dyDescent="0.25">
      <c r="K351"/>
    </row>
    <row r="352" spans="11:11" x14ac:dyDescent="0.25">
      <c r="K352"/>
    </row>
    <row r="353" spans="11:11" x14ac:dyDescent="0.25">
      <c r="K353"/>
    </row>
    <row r="354" spans="11:11" x14ac:dyDescent="0.25">
      <c r="K354"/>
    </row>
    <row r="355" spans="11:11" x14ac:dyDescent="0.25">
      <c r="K355"/>
    </row>
    <row r="356" spans="11:11" x14ac:dyDescent="0.25">
      <c r="K356"/>
    </row>
    <row r="357" spans="11:11" x14ac:dyDescent="0.25">
      <c r="K357"/>
    </row>
    <row r="358" spans="11:11" x14ac:dyDescent="0.25">
      <c r="K358"/>
    </row>
    <row r="359" spans="11:11" x14ac:dyDescent="0.25">
      <c r="K359"/>
    </row>
    <row r="360" spans="11:11" x14ac:dyDescent="0.25">
      <c r="K360"/>
    </row>
    <row r="361" spans="11:11" x14ac:dyDescent="0.25">
      <c r="K361"/>
    </row>
    <row r="362" spans="11:11" x14ac:dyDescent="0.25">
      <c r="K362"/>
    </row>
    <row r="363" spans="11:11" x14ac:dyDescent="0.25">
      <c r="K363"/>
    </row>
    <row r="364" spans="11:11" x14ac:dyDescent="0.25">
      <c r="K364"/>
    </row>
    <row r="365" spans="11:11" x14ac:dyDescent="0.25">
      <c r="K365"/>
    </row>
    <row r="366" spans="11:11" x14ac:dyDescent="0.25">
      <c r="K366"/>
    </row>
    <row r="367" spans="11:11" x14ac:dyDescent="0.25">
      <c r="K367"/>
    </row>
    <row r="368" spans="11:11" x14ac:dyDescent="0.25">
      <c r="K368"/>
    </row>
    <row r="369" spans="11:11" x14ac:dyDescent="0.25">
      <c r="K369"/>
    </row>
    <row r="370" spans="11:11" x14ac:dyDescent="0.25">
      <c r="K370"/>
    </row>
    <row r="371" spans="11:11" x14ac:dyDescent="0.25">
      <c r="K371"/>
    </row>
    <row r="372" spans="11:11" x14ac:dyDescent="0.25">
      <c r="K372"/>
    </row>
    <row r="373" spans="11:11" x14ac:dyDescent="0.25">
      <c r="K373"/>
    </row>
    <row r="374" spans="11:11" x14ac:dyDescent="0.25">
      <c r="K374"/>
    </row>
    <row r="375" spans="11:11" x14ac:dyDescent="0.25">
      <c r="K375"/>
    </row>
    <row r="376" spans="11:11" x14ac:dyDescent="0.25">
      <c r="K376"/>
    </row>
    <row r="377" spans="11:11" x14ac:dyDescent="0.25">
      <c r="K377"/>
    </row>
    <row r="378" spans="11:11" x14ac:dyDescent="0.25">
      <c r="K378"/>
    </row>
    <row r="379" spans="11:11" x14ac:dyDescent="0.25">
      <c r="K379"/>
    </row>
    <row r="380" spans="11:11" x14ac:dyDescent="0.25">
      <c r="K380"/>
    </row>
    <row r="381" spans="11:11" x14ac:dyDescent="0.25">
      <c r="K381"/>
    </row>
    <row r="382" spans="11:11" x14ac:dyDescent="0.25">
      <c r="K382"/>
    </row>
    <row r="383" spans="11:11" x14ac:dyDescent="0.25">
      <c r="K383"/>
    </row>
    <row r="384" spans="11:11" x14ac:dyDescent="0.25">
      <c r="K384"/>
    </row>
    <row r="385" spans="11:11" x14ac:dyDescent="0.25">
      <c r="K385"/>
    </row>
    <row r="386" spans="11:11" x14ac:dyDescent="0.25">
      <c r="K386"/>
    </row>
    <row r="387" spans="11:11" x14ac:dyDescent="0.25">
      <c r="K387"/>
    </row>
    <row r="388" spans="11:11" x14ac:dyDescent="0.25">
      <c r="K388"/>
    </row>
    <row r="389" spans="11:11" x14ac:dyDescent="0.25">
      <c r="K389"/>
    </row>
    <row r="390" spans="11:11" x14ac:dyDescent="0.25">
      <c r="K390"/>
    </row>
    <row r="391" spans="11:11" x14ac:dyDescent="0.25">
      <c r="K391"/>
    </row>
    <row r="392" spans="11:11" x14ac:dyDescent="0.25">
      <c r="K392"/>
    </row>
    <row r="393" spans="11:11" x14ac:dyDescent="0.25">
      <c r="K393"/>
    </row>
    <row r="394" spans="11:11" x14ac:dyDescent="0.25">
      <c r="K394"/>
    </row>
    <row r="395" spans="11:11" x14ac:dyDescent="0.25">
      <c r="K395"/>
    </row>
    <row r="396" spans="11:11" x14ac:dyDescent="0.25">
      <c r="K396"/>
    </row>
    <row r="397" spans="11:11" x14ac:dyDescent="0.25">
      <c r="K397"/>
    </row>
    <row r="398" spans="11:11" x14ac:dyDescent="0.25">
      <c r="K398"/>
    </row>
    <row r="399" spans="11:11" x14ac:dyDescent="0.25">
      <c r="K399"/>
    </row>
    <row r="400" spans="11:11" x14ac:dyDescent="0.25">
      <c r="K400"/>
    </row>
    <row r="401" spans="11:11" x14ac:dyDescent="0.25">
      <c r="K401"/>
    </row>
    <row r="402" spans="11:11" x14ac:dyDescent="0.25">
      <c r="K402"/>
    </row>
    <row r="403" spans="11:11" x14ac:dyDescent="0.25">
      <c r="K403"/>
    </row>
    <row r="404" spans="11:11" x14ac:dyDescent="0.25">
      <c r="K404"/>
    </row>
    <row r="405" spans="11:11" x14ac:dyDescent="0.25">
      <c r="K405"/>
    </row>
    <row r="406" spans="11:11" x14ac:dyDescent="0.25">
      <c r="K406"/>
    </row>
    <row r="407" spans="11:11" x14ac:dyDescent="0.25">
      <c r="K407"/>
    </row>
    <row r="408" spans="11:11" x14ac:dyDescent="0.25">
      <c r="K408"/>
    </row>
    <row r="409" spans="11:11" x14ac:dyDescent="0.25">
      <c r="K409"/>
    </row>
    <row r="410" spans="11:11" x14ac:dyDescent="0.25">
      <c r="K410"/>
    </row>
    <row r="411" spans="11:11" x14ac:dyDescent="0.25">
      <c r="K411"/>
    </row>
    <row r="412" spans="11:11" x14ac:dyDescent="0.25">
      <c r="K412"/>
    </row>
    <row r="413" spans="11:11" x14ac:dyDescent="0.25">
      <c r="K413"/>
    </row>
    <row r="414" spans="11:11" x14ac:dyDescent="0.25">
      <c r="K414"/>
    </row>
    <row r="415" spans="11:11" x14ac:dyDescent="0.25">
      <c r="K415"/>
    </row>
    <row r="416" spans="11:11" x14ac:dyDescent="0.25">
      <c r="K416"/>
    </row>
    <row r="417" spans="11:11" x14ac:dyDescent="0.25">
      <c r="K417"/>
    </row>
    <row r="418" spans="11:11" x14ac:dyDescent="0.25">
      <c r="K418"/>
    </row>
    <row r="419" spans="11:11" x14ac:dyDescent="0.25">
      <c r="K419"/>
    </row>
    <row r="420" spans="11:11" x14ac:dyDescent="0.25">
      <c r="K420"/>
    </row>
    <row r="421" spans="11:11" x14ac:dyDescent="0.25">
      <c r="K421"/>
    </row>
    <row r="422" spans="11:11" x14ac:dyDescent="0.25">
      <c r="K422"/>
    </row>
    <row r="423" spans="11:11" x14ac:dyDescent="0.25">
      <c r="K423"/>
    </row>
    <row r="424" spans="11:11" x14ac:dyDescent="0.25">
      <c r="K424"/>
    </row>
    <row r="425" spans="11:11" x14ac:dyDescent="0.25">
      <c r="K425"/>
    </row>
    <row r="426" spans="11:11" x14ac:dyDescent="0.25">
      <c r="K426"/>
    </row>
    <row r="427" spans="11:11" x14ac:dyDescent="0.25">
      <c r="K427"/>
    </row>
    <row r="428" spans="11:11" x14ac:dyDescent="0.25">
      <c r="K428"/>
    </row>
    <row r="429" spans="11:11" x14ac:dyDescent="0.25">
      <c r="K429"/>
    </row>
    <row r="430" spans="11:11" x14ac:dyDescent="0.25">
      <c r="K430"/>
    </row>
    <row r="431" spans="11:11" x14ac:dyDescent="0.25">
      <c r="K431"/>
    </row>
    <row r="432" spans="11:11" x14ac:dyDescent="0.25">
      <c r="K432"/>
    </row>
    <row r="433" spans="11:11" x14ac:dyDescent="0.25">
      <c r="K433"/>
    </row>
    <row r="434" spans="11:11" x14ac:dyDescent="0.25">
      <c r="K434"/>
    </row>
    <row r="435" spans="11:11" x14ac:dyDescent="0.25">
      <c r="K435"/>
    </row>
    <row r="436" spans="11:11" x14ac:dyDescent="0.25">
      <c r="K436"/>
    </row>
    <row r="437" spans="11:11" x14ac:dyDescent="0.25">
      <c r="K437"/>
    </row>
    <row r="438" spans="11:11" x14ac:dyDescent="0.25">
      <c r="K438"/>
    </row>
    <row r="439" spans="11:11" x14ac:dyDescent="0.25">
      <c r="K439"/>
    </row>
    <row r="440" spans="11:11" x14ac:dyDescent="0.25">
      <c r="K440"/>
    </row>
    <row r="441" spans="11:11" x14ac:dyDescent="0.25">
      <c r="K441"/>
    </row>
    <row r="442" spans="11:11" x14ac:dyDescent="0.25">
      <c r="K442"/>
    </row>
    <row r="443" spans="11:11" x14ac:dyDescent="0.25">
      <c r="K443"/>
    </row>
    <row r="444" spans="11:11" x14ac:dyDescent="0.25">
      <c r="K444"/>
    </row>
    <row r="445" spans="11:11" x14ac:dyDescent="0.25">
      <c r="K445"/>
    </row>
    <row r="446" spans="11:11" x14ac:dyDescent="0.25">
      <c r="K446"/>
    </row>
    <row r="447" spans="11:11" x14ac:dyDescent="0.25">
      <c r="K447"/>
    </row>
    <row r="448" spans="11:11" x14ac:dyDescent="0.25">
      <c r="K448"/>
    </row>
    <row r="449" spans="11:11" x14ac:dyDescent="0.25">
      <c r="K449"/>
    </row>
    <row r="450" spans="11:11" x14ac:dyDescent="0.25">
      <c r="K450"/>
    </row>
    <row r="451" spans="11:11" x14ac:dyDescent="0.25">
      <c r="K451"/>
    </row>
    <row r="452" spans="11:11" x14ac:dyDescent="0.25">
      <c r="K452"/>
    </row>
    <row r="453" spans="11:11" x14ac:dyDescent="0.25">
      <c r="K453"/>
    </row>
    <row r="454" spans="11:11" x14ac:dyDescent="0.25">
      <c r="K454"/>
    </row>
    <row r="455" spans="11:11" x14ac:dyDescent="0.25">
      <c r="K455"/>
    </row>
    <row r="456" spans="11:11" x14ac:dyDescent="0.25">
      <c r="K456"/>
    </row>
    <row r="457" spans="11:11" x14ac:dyDescent="0.25">
      <c r="K457"/>
    </row>
    <row r="458" spans="11:11" x14ac:dyDescent="0.25">
      <c r="K458"/>
    </row>
    <row r="459" spans="11:11" x14ac:dyDescent="0.25">
      <c r="K459"/>
    </row>
    <row r="460" spans="11:11" x14ac:dyDescent="0.25">
      <c r="K460"/>
    </row>
    <row r="461" spans="11:11" x14ac:dyDescent="0.25">
      <c r="K461"/>
    </row>
    <row r="462" spans="11:11" x14ac:dyDescent="0.25">
      <c r="K462"/>
    </row>
    <row r="463" spans="11:11" x14ac:dyDescent="0.25">
      <c r="K463"/>
    </row>
    <row r="464" spans="11:11" x14ac:dyDescent="0.25">
      <c r="K464"/>
    </row>
    <row r="465" spans="11:11" x14ac:dyDescent="0.25">
      <c r="K465"/>
    </row>
    <row r="466" spans="11:11" x14ac:dyDescent="0.25">
      <c r="K466"/>
    </row>
    <row r="467" spans="11:11" x14ac:dyDescent="0.25">
      <c r="K467"/>
    </row>
    <row r="468" spans="11:11" x14ac:dyDescent="0.25">
      <c r="K468"/>
    </row>
    <row r="469" spans="11:11" x14ac:dyDescent="0.25">
      <c r="K469"/>
    </row>
    <row r="470" spans="11:11" x14ac:dyDescent="0.25">
      <c r="K470"/>
    </row>
    <row r="471" spans="11:11" x14ac:dyDescent="0.25">
      <c r="K471"/>
    </row>
    <row r="472" spans="11:11" x14ac:dyDescent="0.25">
      <c r="K472"/>
    </row>
    <row r="473" spans="11:11" x14ac:dyDescent="0.25">
      <c r="K473"/>
    </row>
    <row r="474" spans="11:11" x14ac:dyDescent="0.25">
      <c r="K474"/>
    </row>
    <row r="475" spans="11:11" x14ac:dyDescent="0.25">
      <c r="K475"/>
    </row>
    <row r="476" spans="11:11" x14ac:dyDescent="0.25">
      <c r="K476"/>
    </row>
    <row r="477" spans="11:11" x14ac:dyDescent="0.25">
      <c r="K477"/>
    </row>
    <row r="478" spans="11:11" x14ac:dyDescent="0.25">
      <c r="K478"/>
    </row>
    <row r="479" spans="11:11" x14ac:dyDescent="0.25">
      <c r="K479"/>
    </row>
    <row r="480" spans="11:11" x14ac:dyDescent="0.25">
      <c r="K480"/>
    </row>
    <row r="481" spans="11:11" x14ac:dyDescent="0.25">
      <c r="K481"/>
    </row>
    <row r="482" spans="11:11" x14ac:dyDescent="0.25">
      <c r="K482"/>
    </row>
    <row r="483" spans="11:11" x14ac:dyDescent="0.25">
      <c r="K483"/>
    </row>
    <row r="484" spans="11:11" x14ac:dyDescent="0.25">
      <c r="K484"/>
    </row>
    <row r="485" spans="11:11" x14ac:dyDescent="0.25">
      <c r="K485"/>
    </row>
    <row r="486" spans="11:11" x14ac:dyDescent="0.25">
      <c r="K486"/>
    </row>
    <row r="487" spans="11:11" x14ac:dyDescent="0.25">
      <c r="K487"/>
    </row>
    <row r="488" spans="11:11" x14ac:dyDescent="0.25">
      <c r="K488"/>
    </row>
    <row r="489" spans="11:11" x14ac:dyDescent="0.25">
      <c r="K489"/>
    </row>
    <row r="490" spans="11:11" x14ac:dyDescent="0.25">
      <c r="K490"/>
    </row>
    <row r="491" spans="11:11" x14ac:dyDescent="0.25">
      <c r="K491"/>
    </row>
    <row r="492" spans="11:11" x14ac:dyDescent="0.25">
      <c r="K492"/>
    </row>
    <row r="493" spans="11:11" x14ac:dyDescent="0.25">
      <c r="K493"/>
    </row>
    <row r="494" spans="11:11" x14ac:dyDescent="0.25">
      <c r="K494"/>
    </row>
    <row r="495" spans="11:11" x14ac:dyDescent="0.25">
      <c r="K495"/>
    </row>
    <row r="496" spans="11:11" x14ac:dyDescent="0.25">
      <c r="K496"/>
    </row>
    <row r="497" spans="11:11" x14ac:dyDescent="0.25">
      <c r="K497"/>
    </row>
    <row r="498" spans="11:11" x14ac:dyDescent="0.25">
      <c r="K498"/>
    </row>
    <row r="499" spans="11:11" x14ac:dyDescent="0.25">
      <c r="K499"/>
    </row>
    <row r="500" spans="11:11" x14ac:dyDescent="0.25">
      <c r="K500"/>
    </row>
    <row r="501" spans="11:11" x14ac:dyDescent="0.25">
      <c r="K501"/>
    </row>
    <row r="502" spans="11:11" x14ac:dyDescent="0.25">
      <c r="K502"/>
    </row>
    <row r="503" spans="11:11" x14ac:dyDescent="0.25">
      <c r="K503"/>
    </row>
    <row r="504" spans="11:11" x14ac:dyDescent="0.25">
      <c r="K504"/>
    </row>
    <row r="505" spans="11:11" x14ac:dyDescent="0.25">
      <c r="K505"/>
    </row>
    <row r="506" spans="11:11" x14ac:dyDescent="0.25">
      <c r="K506"/>
    </row>
    <row r="507" spans="11:11" x14ac:dyDescent="0.25">
      <c r="K507"/>
    </row>
    <row r="508" spans="11:11" x14ac:dyDescent="0.25">
      <c r="K508"/>
    </row>
    <row r="509" spans="11:11" x14ac:dyDescent="0.25">
      <c r="K509"/>
    </row>
    <row r="510" spans="11:11" x14ac:dyDescent="0.25">
      <c r="K510"/>
    </row>
    <row r="511" spans="11:11" x14ac:dyDescent="0.25">
      <c r="K511"/>
    </row>
    <row r="512" spans="11:11" x14ac:dyDescent="0.25">
      <c r="K512"/>
    </row>
    <row r="513" spans="11:11" x14ac:dyDescent="0.25">
      <c r="K513"/>
    </row>
    <row r="514" spans="11:11" x14ac:dyDescent="0.25">
      <c r="K514"/>
    </row>
    <row r="515" spans="11:11" x14ac:dyDescent="0.25">
      <c r="K515"/>
    </row>
    <row r="516" spans="11:11" x14ac:dyDescent="0.25">
      <c r="K516"/>
    </row>
    <row r="517" spans="11:11" x14ac:dyDescent="0.25">
      <c r="K517"/>
    </row>
    <row r="518" spans="11:11" x14ac:dyDescent="0.25">
      <c r="K518"/>
    </row>
    <row r="519" spans="11:11" x14ac:dyDescent="0.25">
      <c r="K519"/>
    </row>
    <row r="520" spans="11:11" x14ac:dyDescent="0.25">
      <c r="K520"/>
    </row>
    <row r="521" spans="11:11" x14ac:dyDescent="0.25">
      <c r="K521"/>
    </row>
    <row r="522" spans="11:11" x14ac:dyDescent="0.25">
      <c r="K522"/>
    </row>
    <row r="523" spans="11:11" x14ac:dyDescent="0.25">
      <c r="K523"/>
    </row>
    <row r="524" spans="11:11" x14ac:dyDescent="0.25">
      <c r="K524"/>
    </row>
    <row r="525" spans="11:11" x14ac:dyDescent="0.25">
      <c r="K525"/>
    </row>
    <row r="526" spans="11:11" x14ac:dyDescent="0.25">
      <c r="K526"/>
    </row>
    <row r="527" spans="11:11" x14ac:dyDescent="0.25">
      <c r="K527"/>
    </row>
    <row r="528" spans="11:11" x14ac:dyDescent="0.25">
      <c r="K528"/>
    </row>
    <row r="529" spans="11:11" x14ac:dyDescent="0.25">
      <c r="K529"/>
    </row>
    <row r="530" spans="11:11" x14ac:dyDescent="0.25">
      <c r="K530"/>
    </row>
    <row r="531" spans="11:11" x14ac:dyDescent="0.25">
      <c r="K531"/>
    </row>
    <row r="532" spans="11:11" x14ac:dyDescent="0.25">
      <c r="K532"/>
    </row>
    <row r="533" spans="11:11" x14ac:dyDescent="0.25">
      <c r="K533"/>
    </row>
    <row r="534" spans="11:11" x14ac:dyDescent="0.25">
      <c r="K534"/>
    </row>
    <row r="535" spans="11:11" x14ac:dyDescent="0.25">
      <c r="K535"/>
    </row>
    <row r="536" spans="11:11" x14ac:dyDescent="0.25">
      <c r="K536"/>
    </row>
    <row r="537" spans="11:11" x14ac:dyDescent="0.25">
      <c r="K537"/>
    </row>
    <row r="538" spans="11:11" x14ac:dyDescent="0.25">
      <c r="K538"/>
    </row>
    <row r="539" spans="11:11" x14ac:dyDescent="0.25">
      <c r="K539"/>
    </row>
    <row r="540" spans="11:11" x14ac:dyDescent="0.25">
      <c r="K540"/>
    </row>
    <row r="541" spans="11:11" x14ac:dyDescent="0.25">
      <c r="K541"/>
    </row>
    <row r="542" spans="11:11" x14ac:dyDescent="0.25">
      <c r="K542"/>
    </row>
    <row r="543" spans="11:11" x14ac:dyDescent="0.25">
      <c r="K543"/>
    </row>
    <row r="544" spans="11:11" x14ac:dyDescent="0.25">
      <c r="K544"/>
    </row>
    <row r="545" spans="11:11" x14ac:dyDescent="0.25">
      <c r="K545"/>
    </row>
    <row r="546" spans="11:11" x14ac:dyDescent="0.25">
      <c r="K546"/>
    </row>
    <row r="547" spans="11:11" x14ac:dyDescent="0.25">
      <c r="K547"/>
    </row>
    <row r="548" spans="11:11" x14ac:dyDescent="0.25">
      <c r="K548"/>
    </row>
    <row r="549" spans="11:11" x14ac:dyDescent="0.25">
      <c r="K549"/>
    </row>
    <row r="550" spans="11:11" x14ac:dyDescent="0.25">
      <c r="K550"/>
    </row>
    <row r="551" spans="11:11" x14ac:dyDescent="0.25">
      <c r="K551"/>
    </row>
    <row r="552" spans="11:11" x14ac:dyDescent="0.25">
      <c r="K552"/>
    </row>
    <row r="553" spans="11:11" x14ac:dyDescent="0.25">
      <c r="K553"/>
    </row>
    <row r="554" spans="11:11" x14ac:dyDescent="0.25">
      <c r="K554"/>
    </row>
    <row r="555" spans="11:11" x14ac:dyDescent="0.25">
      <c r="K555"/>
    </row>
    <row r="556" spans="11:11" x14ac:dyDescent="0.25">
      <c r="K556"/>
    </row>
    <row r="557" spans="11:11" x14ac:dyDescent="0.25">
      <c r="K557"/>
    </row>
    <row r="558" spans="11:11" x14ac:dyDescent="0.25">
      <c r="K558"/>
    </row>
    <row r="559" spans="11:11" x14ac:dyDescent="0.25">
      <c r="K559"/>
    </row>
    <row r="560" spans="11:11" x14ac:dyDescent="0.25">
      <c r="K560"/>
    </row>
    <row r="561" spans="11:11" x14ac:dyDescent="0.25">
      <c r="K561"/>
    </row>
    <row r="562" spans="11:11" x14ac:dyDescent="0.25">
      <c r="K562"/>
    </row>
    <row r="563" spans="11:11" x14ac:dyDescent="0.25">
      <c r="K563"/>
    </row>
    <row r="564" spans="11:11" x14ac:dyDescent="0.25">
      <c r="K564"/>
    </row>
    <row r="565" spans="11:11" x14ac:dyDescent="0.25">
      <c r="K565"/>
    </row>
    <row r="566" spans="11:11" x14ac:dyDescent="0.25">
      <c r="K566"/>
    </row>
    <row r="567" spans="11:11" x14ac:dyDescent="0.25">
      <c r="K567"/>
    </row>
    <row r="568" spans="11:11" x14ac:dyDescent="0.25">
      <c r="K568"/>
    </row>
    <row r="569" spans="11:11" x14ac:dyDescent="0.25">
      <c r="K569"/>
    </row>
    <row r="570" spans="11:11" x14ac:dyDescent="0.25">
      <c r="K570"/>
    </row>
    <row r="571" spans="11:11" x14ac:dyDescent="0.25">
      <c r="K571"/>
    </row>
    <row r="572" spans="11:11" x14ac:dyDescent="0.25">
      <c r="K572"/>
    </row>
    <row r="573" spans="11:11" x14ac:dyDescent="0.25">
      <c r="K573"/>
    </row>
    <row r="574" spans="11:11" x14ac:dyDescent="0.25">
      <c r="K574"/>
    </row>
    <row r="575" spans="11:11" x14ac:dyDescent="0.25">
      <c r="K575"/>
    </row>
    <row r="576" spans="11:11" x14ac:dyDescent="0.25">
      <c r="K576"/>
    </row>
    <row r="577" spans="11:11" x14ac:dyDescent="0.25">
      <c r="K577"/>
    </row>
    <row r="578" spans="11:11" x14ac:dyDescent="0.25">
      <c r="K578"/>
    </row>
    <row r="579" spans="11:11" x14ac:dyDescent="0.25">
      <c r="K579"/>
    </row>
    <row r="580" spans="11:11" x14ac:dyDescent="0.25">
      <c r="K580"/>
    </row>
    <row r="581" spans="11:11" x14ac:dyDescent="0.25">
      <c r="K581"/>
    </row>
    <row r="582" spans="11:11" x14ac:dyDescent="0.25">
      <c r="K582"/>
    </row>
    <row r="583" spans="11:11" x14ac:dyDescent="0.25">
      <c r="K583"/>
    </row>
    <row r="584" spans="11:11" x14ac:dyDescent="0.25">
      <c r="K584"/>
    </row>
    <row r="585" spans="11:11" x14ac:dyDescent="0.25">
      <c r="K585"/>
    </row>
    <row r="586" spans="11:11" x14ac:dyDescent="0.25">
      <c r="K586"/>
    </row>
    <row r="587" spans="11:11" x14ac:dyDescent="0.25">
      <c r="K587"/>
    </row>
    <row r="588" spans="11:11" x14ac:dyDescent="0.25">
      <c r="K588"/>
    </row>
    <row r="589" spans="11:11" x14ac:dyDescent="0.25">
      <c r="K589"/>
    </row>
    <row r="590" spans="11:11" x14ac:dyDescent="0.25">
      <c r="K590"/>
    </row>
    <row r="591" spans="11:11" x14ac:dyDescent="0.25">
      <c r="K591"/>
    </row>
    <row r="592" spans="11:11" x14ac:dyDescent="0.25">
      <c r="K592"/>
    </row>
    <row r="593" spans="11:11" x14ac:dyDescent="0.25">
      <c r="K593"/>
    </row>
    <row r="594" spans="11:11" x14ac:dyDescent="0.25">
      <c r="K594"/>
    </row>
    <row r="595" spans="11:11" x14ac:dyDescent="0.25">
      <c r="K595"/>
    </row>
    <row r="596" spans="11:11" x14ac:dyDescent="0.25">
      <c r="K596"/>
    </row>
    <row r="597" spans="11:11" x14ac:dyDescent="0.25">
      <c r="K597"/>
    </row>
    <row r="598" spans="11:11" x14ac:dyDescent="0.25">
      <c r="K598"/>
    </row>
    <row r="599" spans="11:11" x14ac:dyDescent="0.25">
      <c r="K599"/>
    </row>
    <row r="600" spans="11:11" x14ac:dyDescent="0.25">
      <c r="K600"/>
    </row>
    <row r="601" spans="11:11" x14ac:dyDescent="0.25">
      <c r="K601"/>
    </row>
    <row r="602" spans="11:11" x14ac:dyDescent="0.25">
      <c r="K602"/>
    </row>
    <row r="603" spans="11:11" x14ac:dyDescent="0.25">
      <c r="K603"/>
    </row>
    <row r="604" spans="11:11" x14ac:dyDescent="0.25">
      <c r="K604"/>
    </row>
    <row r="605" spans="11:11" x14ac:dyDescent="0.25">
      <c r="K605"/>
    </row>
    <row r="606" spans="11:11" x14ac:dyDescent="0.25">
      <c r="K606"/>
    </row>
    <row r="607" spans="11:11" x14ac:dyDescent="0.25">
      <c r="K607"/>
    </row>
    <row r="608" spans="11:11" x14ac:dyDescent="0.25">
      <c r="K608"/>
    </row>
    <row r="609" spans="11:11" x14ac:dyDescent="0.25">
      <c r="K609"/>
    </row>
    <row r="610" spans="11:11" x14ac:dyDescent="0.25">
      <c r="K610"/>
    </row>
    <row r="611" spans="11:11" x14ac:dyDescent="0.25">
      <c r="K611"/>
    </row>
    <row r="612" spans="11:11" x14ac:dyDescent="0.25">
      <c r="K612"/>
    </row>
    <row r="613" spans="11:11" x14ac:dyDescent="0.25">
      <c r="K613"/>
    </row>
    <row r="614" spans="11:11" x14ac:dyDescent="0.25">
      <c r="K614"/>
    </row>
    <row r="615" spans="11:11" x14ac:dyDescent="0.25">
      <c r="K615"/>
    </row>
    <row r="616" spans="11:11" x14ac:dyDescent="0.25">
      <c r="K616"/>
    </row>
    <row r="617" spans="11:11" x14ac:dyDescent="0.25">
      <c r="K617"/>
    </row>
    <row r="618" spans="11:11" x14ac:dyDescent="0.25">
      <c r="K618"/>
    </row>
    <row r="619" spans="11:11" x14ac:dyDescent="0.25">
      <c r="K619"/>
    </row>
    <row r="620" spans="11:11" x14ac:dyDescent="0.25">
      <c r="K620"/>
    </row>
    <row r="621" spans="11:11" x14ac:dyDescent="0.25">
      <c r="K621"/>
    </row>
    <row r="622" spans="11:11" x14ac:dyDescent="0.25">
      <c r="K622"/>
    </row>
    <row r="623" spans="11:11" x14ac:dyDescent="0.25">
      <c r="K623"/>
    </row>
    <row r="624" spans="11:11" x14ac:dyDescent="0.25">
      <c r="K624"/>
    </row>
    <row r="625" spans="11:11" x14ac:dyDescent="0.25">
      <c r="K625"/>
    </row>
    <row r="626" spans="11:11" x14ac:dyDescent="0.25">
      <c r="K626"/>
    </row>
    <row r="627" spans="11:11" x14ac:dyDescent="0.25">
      <c r="K627"/>
    </row>
    <row r="628" spans="11:11" x14ac:dyDescent="0.25">
      <c r="K628"/>
    </row>
    <row r="629" spans="11:11" x14ac:dyDescent="0.25">
      <c r="K629"/>
    </row>
    <row r="630" spans="11:11" x14ac:dyDescent="0.25">
      <c r="K630"/>
    </row>
    <row r="631" spans="11:11" x14ac:dyDescent="0.25">
      <c r="K631"/>
    </row>
    <row r="632" spans="11:11" x14ac:dyDescent="0.25">
      <c r="K632"/>
    </row>
    <row r="633" spans="11:11" x14ac:dyDescent="0.25">
      <c r="K633"/>
    </row>
    <row r="634" spans="11:11" x14ac:dyDescent="0.25">
      <c r="K634"/>
    </row>
    <row r="635" spans="11:11" x14ac:dyDescent="0.25">
      <c r="K635"/>
    </row>
    <row r="636" spans="11:11" x14ac:dyDescent="0.25">
      <c r="K636"/>
    </row>
    <row r="637" spans="11:11" x14ac:dyDescent="0.25">
      <c r="K637"/>
    </row>
    <row r="638" spans="11:11" x14ac:dyDescent="0.25">
      <c r="K638"/>
    </row>
    <row r="639" spans="11:11" x14ac:dyDescent="0.25">
      <c r="K639"/>
    </row>
    <row r="640" spans="11:11" x14ac:dyDescent="0.25">
      <c r="K640"/>
    </row>
    <row r="641" spans="11:11" x14ac:dyDescent="0.25">
      <c r="K641"/>
    </row>
    <row r="642" spans="11:11" x14ac:dyDescent="0.25">
      <c r="K642"/>
    </row>
    <row r="643" spans="11:11" x14ac:dyDescent="0.25">
      <c r="K643"/>
    </row>
    <row r="644" spans="11:11" x14ac:dyDescent="0.25">
      <c r="K644"/>
    </row>
    <row r="645" spans="11:11" x14ac:dyDescent="0.25">
      <c r="K645"/>
    </row>
    <row r="646" spans="11:11" x14ac:dyDescent="0.25">
      <c r="K646"/>
    </row>
    <row r="647" spans="11:11" x14ac:dyDescent="0.25">
      <c r="K647"/>
    </row>
    <row r="648" spans="11:11" x14ac:dyDescent="0.25">
      <c r="K648"/>
    </row>
    <row r="649" spans="11:11" x14ac:dyDescent="0.25">
      <c r="K649"/>
    </row>
    <row r="650" spans="11:11" x14ac:dyDescent="0.25">
      <c r="K650"/>
    </row>
    <row r="651" spans="11:11" x14ac:dyDescent="0.25">
      <c r="K651"/>
    </row>
    <row r="652" spans="11:11" x14ac:dyDescent="0.25">
      <c r="K652"/>
    </row>
    <row r="653" spans="11:11" x14ac:dyDescent="0.25">
      <c r="K653"/>
    </row>
    <row r="654" spans="11:11" x14ac:dyDescent="0.25">
      <c r="K654"/>
    </row>
    <row r="655" spans="11:11" x14ac:dyDescent="0.25">
      <c r="K655"/>
    </row>
    <row r="656" spans="11:11" x14ac:dyDescent="0.25">
      <c r="K656"/>
    </row>
    <row r="657" spans="11:11" x14ac:dyDescent="0.25">
      <c r="K657"/>
    </row>
    <row r="658" spans="11:11" x14ac:dyDescent="0.25">
      <c r="K658"/>
    </row>
    <row r="659" spans="11:11" x14ac:dyDescent="0.25">
      <c r="K659"/>
    </row>
    <row r="660" spans="11:11" x14ac:dyDescent="0.25">
      <c r="K660"/>
    </row>
    <row r="661" spans="11:11" x14ac:dyDescent="0.25">
      <c r="K661"/>
    </row>
    <row r="662" spans="11:11" x14ac:dyDescent="0.25">
      <c r="K662"/>
    </row>
    <row r="663" spans="11:11" x14ac:dyDescent="0.25">
      <c r="K663"/>
    </row>
    <row r="664" spans="11:11" x14ac:dyDescent="0.25">
      <c r="K664"/>
    </row>
    <row r="665" spans="11:11" x14ac:dyDescent="0.25">
      <c r="K665"/>
    </row>
    <row r="666" spans="11:11" x14ac:dyDescent="0.25">
      <c r="K666"/>
    </row>
    <row r="667" spans="11:11" x14ac:dyDescent="0.25">
      <c r="K667"/>
    </row>
    <row r="668" spans="11:11" x14ac:dyDescent="0.25">
      <c r="K668"/>
    </row>
    <row r="669" spans="11:11" x14ac:dyDescent="0.25">
      <c r="K669"/>
    </row>
    <row r="670" spans="11:11" x14ac:dyDescent="0.25">
      <c r="K670"/>
    </row>
    <row r="671" spans="11:11" x14ac:dyDescent="0.25">
      <c r="K671"/>
    </row>
    <row r="672" spans="11:11" x14ac:dyDescent="0.25">
      <c r="K672"/>
    </row>
    <row r="673" spans="11:11" x14ac:dyDescent="0.25">
      <c r="K673"/>
    </row>
    <row r="674" spans="11:11" x14ac:dyDescent="0.25">
      <c r="K674"/>
    </row>
    <row r="675" spans="11:11" x14ac:dyDescent="0.25">
      <c r="K675"/>
    </row>
    <row r="676" spans="11:11" x14ac:dyDescent="0.25">
      <c r="K676"/>
    </row>
    <row r="677" spans="11:11" x14ac:dyDescent="0.25">
      <c r="K677"/>
    </row>
    <row r="678" spans="11:11" x14ac:dyDescent="0.25">
      <c r="K678"/>
    </row>
    <row r="679" spans="11:11" x14ac:dyDescent="0.25">
      <c r="K679"/>
    </row>
    <row r="680" spans="11:11" x14ac:dyDescent="0.25">
      <c r="K680"/>
    </row>
    <row r="681" spans="11:11" x14ac:dyDescent="0.25">
      <c r="K681"/>
    </row>
    <row r="682" spans="11:11" x14ac:dyDescent="0.25">
      <c r="K682"/>
    </row>
    <row r="683" spans="11:11" x14ac:dyDescent="0.25">
      <c r="K683"/>
    </row>
    <row r="684" spans="11:11" x14ac:dyDescent="0.25">
      <c r="K684"/>
    </row>
    <row r="685" spans="11:11" x14ac:dyDescent="0.25">
      <c r="K685"/>
    </row>
    <row r="686" spans="11:11" x14ac:dyDescent="0.25">
      <c r="K686"/>
    </row>
    <row r="687" spans="11:11" x14ac:dyDescent="0.25">
      <c r="K687"/>
    </row>
    <row r="688" spans="11:11" x14ac:dyDescent="0.25">
      <c r="K688"/>
    </row>
    <row r="689" spans="11:11" x14ac:dyDescent="0.25">
      <c r="K689"/>
    </row>
    <row r="690" spans="11:11" x14ac:dyDescent="0.25">
      <c r="K690"/>
    </row>
    <row r="691" spans="11:11" x14ac:dyDescent="0.25">
      <c r="K691"/>
    </row>
    <row r="692" spans="11:11" x14ac:dyDescent="0.25">
      <c r="K692"/>
    </row>
    <row r="693" spans="11:11" x14ac:dyDescent="0.25">
      <c r="K693"/>
    </row>
    <row r="694" spans="11:11" x14ac:dyDescent="0.25">
      <c r="K694"/>
    </row>
    <row r="695" spans="11:11" x14ac:dyDescent="0.25">
      <c r="K695"/>
    </row>
    <row r="696" spans="11:11" x14ac:dyDescent="0.25">
      <c r="K696"/>
    </row>
    <row r="697" spans="11:11" x14ac:dyDescent="0.25">
      <c r="K697"/>
    </row>
    <row r="698" spans="11:11" x14ac:dyDescent="0.25">
      <c r="K698"/>
    </row>
    <row r="699" spans="11:11" x14ac:dyDescent="0.25">
      <c r="K699"/>
    </row>
    <row r="700" spans="11:11" x14ac:dyDescent="0.25">
      <c r="K700"/>
    </row>
    <row r="701" spans="11:11" x14ac:dyDescent="0.25">
      <c r="K701"/>
    </row>
    <row r="702" spans="11:11" x14ac:dyDescent="0.25">
      <c r="K702"/>
    </row>
    <row r="703" spans="11:11" x14ac:dyDescent="0.25">
      <c r="K703"/>
    </row>
    <row r="704" spans="11:11" x14ac:dyDescent="0.25">
      <c r="K704"/>
    </row>
    <row r="705" spans="11:11" x14ac:dyDescent="0.25">
      <c r="K705"/>
    </row>
    <row r="706" spans="11:11" x14ac:dyDescent="0.25">
      <c r="K706"/>
    </row>
    <row r="707" spans="11:11" x14ac:dyDescent="0.25">
      <c r="K707"/>
    </row>
    <row r="708" spans="11:11" x14ac:dyDescent="0.25">
      <c r="K708"/>
    </row>
    <row r="709" spans="11:11" x14ac:dyDescent="0.25">
      <c r="K709"/>
    </row>
    <row r="710" spans="11:11" x14ac:dyDescent="0.25">
      <c r="K710"/>
    </row>
    <row r="711" spans="11:11" x14ac:dyDescent="0.25">
      <c r="K711"/>
    </row>
    <row r="712" spans="11:11" x14ac:dyDescent="0.25">
      <c r="K712"/>
    </row>
    <row r="713" spans="11:11" x14ac:dyDescent="0.25">
      <c r="K713"/>
    </row>
    <row r="714" spans="11:11" x14ac:dyDescent="0.25">
      <c r="K714"/>
    </row>
    <row r="715" spans="11:11" x14ac:dyDescent="0.25">
      <c r="K715"/>
    </row>
    <row r="716" spans="11:11" x14ac:dyDescent="0.25">
      <c r="K716"/>
    </row>
    <row r="717" spans="11:11" x14ac:dyDescent="0.25">
      <c r="K717"/>
    </row>
    <row r="718" spans="11:11" x14ac:dyDescent="0.25">
      <c r="K718"/>
    </row>
    <row r="719" spans="11:11" x14ac:dyDescent="0.25">
      <c r="K719"/>
    </row>
    <row r="720" spans="11:11" x14ac:dyDescent="0.25">
      <c r="K720"/>
    </row>
    <row r="721" spans="11:11" x14ac:dyDescent="0.25">
      <c r="K721"/>
    </row>
    <row r="722" spans="11:11" x14ac:dyDescent="0.25">
      <c r="K722"/>
    </row>
    <row r="723" spans="11:11" x14ac:dyDescent="0.25">
      <c r="K723"/>
    </row>
    <row r="724" spans="11:11" x14ac:dyDescent="0.25">
      <c r="K724"/>
    </row>
    <row r="725" spans="11:11" x14ac:dyDescent="0.25">
      <c r="K725"/>
    </row>
    <row r="726" spans="11:11" x14ac:dyDescent="0.25">
      <c r="K726"/>
    </row>
    <row r="727" spans="11:11" x14ac:dyDescent="0.25">
      <c r="K727"/>
    </row>
    <row r="728" spans="11:11" x14ac:dyDescent="0.25">
      <c r="K728"/>
    </row>
    <row r="729" spans="11:11" x14ac:dyDescent="0.25">
      <c r="K729"/>
    </row>
    <row r="730" spans="11:11" x14ac:dyDescent="0.25">
      <c r="K730"/>
    </row>
    <row r="731" spans="11:11" x14ac:dyDescent="0.25">
      <c r="K731"/>
    </row>
    <row r="732" spans="11:11" x14ac:dyDescent="0.25">
      <c r="K732"/>
    </row>
    <row r="733" spans="11:11" x14ac:dyDescent="0.25">
      <c r="K733"/>
    </row>
    <row r="734" spans="11:11" x14ac:dyDescent="0.25">
      <c r="K734"/>
    </row>
    <row r="735" spans="11:11" x14ac:dyDescent="0.25">
      <c r="K735"/>
    </row>
    <row r="736" spans="11:11" x14ac:dyDescent="0.25">
      <c r="K736"/>
    </row>
    <row r="737" spans="11:11" x14ac:dyDescent="0.25">
      <c r="K737"/>
    </row>
    <row r="738" spans="11:11" x14ac:dyDescent="0.25">
      <c r="K738"/>
    </row>
    <row r="739" spans="11:11" x14ac:dyDescent="0.25">
      <c r="K739"/>
    </row>
    <row r="740" spans="11:11" x14ac:dyDescent="0.25">
      <c r="K740"/>
    </row>
    <row r="741" spans="11:11" x14ac:dyDescent="0.25">
      <c r="K741"/>
    </row>
    <row r="742" spans="11:11" x14ac:dyDescent="0.25">
      <c r="K742"/>
    </row>
    <row r="743" spans="11:11" x14ac:dyDescent="0.25">
      <c r="K743"/>
    </row>
    <row r="744" spans="11:11" x14ac:dyDescent="0.25">
      <c r="K744"/>
    </row>
    <row r="745" spans="11:11" x14ac:dyDescent="0.25">
      <c r="K745"/>
    </row>
    <row r="746" spans="11:11" x14ac:dyDescent="0.25">
      <c r="K746"/>
    </row>
    <row r="747" spans="11:11" x14ac:dyDescent="0.25">
      <c r="K747"/>
    </row>
    <row r="748" spans="11:11" x14ac:dyDescent="0.25">
      <c r="K748"/>
    </row>
    <row r="749" spans="11:11" x14ac:dyDescent="0.25">
      <c r="K749"/>
    </row>
    <row r="750" spans="11:11" x14ac:dyDescent="0.25">
      <c r="K750"/>
    </row>
    <row r="751" spans="11:11" x14ac:dyDescent="0.25">
      <c r="K751"/>
    </row>
    <row r="752" spans="11:11" x14ac:dyDescent="0.25">
      <c r="K752"/>
    </row>
    <row r="753" spans="11:11" x14ac:dyDescent="0.25">
      <c r="K753"/>
    </row>
    <row r="754" spans="11:11" x14ac:dyDescent="0.25">
      <c r="K754"/>
    </row>
    <row r="755" spans="11:11" x14ac:dyDescent="0.25">
      <c r="K755"/>
    </row>
    <row r="756" spans="11:11" x14ac:dyDescent="0.25">
      <c r="K756"/>
    </row>
    <row r="757" spans="11:11" x14ac:dyDescent="0.25">
      <c r="K757"/>
    </row>
    <row r="758" spans="11:11" x14ac:dyDescent="0.25">
      <c r="K758"/>
    </row>
    <row r="759" spans="11:11" x14ac:dyDescent="0.25">
      <c r="K759"/>
    </row>
    <row r="760" spans="11:11" x14ac:dyDescent="0.25">
      <c r="K760"/>
    </row>
    <row r="761" spans="11:11" x14ac:dyDescent="0.25">
      <c r="K761"/>
    </row>
    <row r="762" spans="11:11" x14ac:dyDescent="0.25">
      <c r="K762"/>
    </row>
    <row r="763" spans="11:11" x14ac:dyDescent="0.25">
      <c r="K763"/>
    </row>
    <row r="764" spans="11:11" x14ac:dyDescent="0.25">
      <c r="K764"/>
    </row>
    <row r="765" spans="11:11" x14ac:dyDescent="0.25">
      <c r="K765"/>
    </row>
    <row r="766" spans="11:11" x14ac:dyDescent="0.25">
      <c r="K766"/>
    </row>
    <row r="767" spans="11:11" x14ac:dyDescent="0.25">
      <c r="K767"/>
    </row>
    <row r="768" spans="11:11" x14ac:dyDescent="0.25">
      <c r="K768"/>
    </row>
    <row r="769" spans="11:11" x14ac:dyDescent="0.25">
      <c r="K769"/>
    </row>
    <row r="770" spans="11:11" x14ac:dyDescent="0.25">
      <c r="K770"/>
    </row>
    <row r="771" spans="11:11" x14ac:dyDescent="0.25">
      <c r="K771"/>
    </row>
    <row r="772" spans="11:11" x14ac:dyDescent="0.25">
      <c r="K772"/>
    </row>
    <row r="773" spans="11:11" x14ac:dyDescent="0.25">
      <c r="K773"/>
    </row>
    <row r="774" spans="11:11" x14ac:dyDescent="0.25">
      <c r="K774"/>
    </row>
    <row r="775" spans="11:11" x14ac:dyDescent="0.25">
      <c r="K775"/>
    </row>
    <row r="776" spans="11:11" x14ac:dyDescent="0.25">
      <c r="K776"/>
    </row>
    <row r="777" spans="11:11" x14ac:dyDescent="0.25">
      <c r="K777"/>
    </row>
    <row r="778" spans="11:11" x14ac:dyDescent="0.25">
      <c r="K778"/>
    </row>
    <row r="779" spans="11:11" x14ac:dyDescent="0.25">
      <c r="K779"/>
    </row>
    <row r="780" spans="11:11" x14ac:dyDescent="0.25">
      <c r="K780"/>
    </row>
    <row r="781" spans="11:11" x14ac:dyDescent="0.25">
      <c r="K781"/>
    </row>
    <row r="782" spans="11:11" x14ac:dyDescent="0.25">
      <c r="K782"/>
    </row>
    <row r="783" spans="11:11" x14ac:dyDescent="0.25">
      <c r="K783"/>
    </row>
    <row r="784" spans="11:11" x14ac:dyDescent="0.25">
      <c r="K784"/>
    </row>
    <row r="785" spans="11:11" x14ac:dyDescent="0.25">
      <c r="K785"/>
    </row>
    <row r="786" spans="11:11" x14ac:dyDescent="0.25">
      <c r="K786"/>
    </row>
    <row r="787" spans="11:11" x14ac:dyDescent="0.25">
      <c r="K787"/>
    </row>
    <row r="788" spans="11:11" x14ac:dyDescent="0.25">
      <c r="K788"/>
    </row>
    <row r="789" spans="11:11" x14ac:dyDescent="0.25">
      <c r="K789"/>
    </row>
    <row r="790" spans="11:11" x14ac:dyDescent="0.25">
      <c r="K790"/>
    </row>
    <row r="791" spans="11:11" x14ac:dyDescent="0.25">
      <c r="K791"/>
    </row>
    <row r="792" spans="11:11" x14ac:dyDescent="0.25">
      <c r="K792"/>
    </row>
    <row r="793" spans="11:11" x14ac:dyDescent="0.25">
      <c r="K793"/>
    </row>
    <row r="794" spans="11:11" x14ac:dyDescent="0.25">
      <c r="K794"/>
    </row>
    <row r="795" spans="11:11" x14ac:dyDescent="0.25">
      <c r="K795"/>
    </row>
    <row r="796" spans="11:11" x14ac:dyDescent="0.25">
      <c r="K796"/>
    </row>
    <row r="797" spans="11:11" x14ac:dyDescent="0.25">
      <c r="K797"/>
    </row>
    <row r="798" spans="11:11" x14ac:dyDescent="0.25">
      <c r="K798"/>
    </row>
    <row r="799" spans="11:11" x14ac:dyDescent="0.25">
      <c r="K799"/>
    </row>
    <row r="800" spans="11:11" x14ac:dyDescent="0.25">
      <c r="K800"/>
    </row>
    <row r="801" spans="11:11" x14ac:dyDescent="0.25">
      <c r="K801"/>
    </row>
    <row r="802" spans="11:11" x14ac:dyDescent="0.25">
      <c r="K802"/>
    </row>
    <row r="803" spans="11:11" x14ac:dyDescent="0.25">
      <c r="K803"/>
    </row>
    <row r="804" spans="11:11" x14ac:dyDescent="0.25">
      <c r="K804"/>
    </row>
    <row r="805" spans="11:11" x14ac:dyDescent="0.25">
      <c r="K805"/>
    </row>
    <row r="806" spans="11:11" x14ac:dyDescent="0.25">
      <c r="K806"/>
    </row>
    <row r="807" spans="11:11" x14ac:dyDescent="0.25">
      <c r="K807"/>
    </row>
    <row r="808" spans="11:11" x14ac:dyDescent="0.25">
      <c r="K808"/>
    </row>
    <row r="809" spans="11:11" x14ac:dyDescent="0.25">
      <c r="K809"/>
    </row>
    <row r="810" spans="11:11" x14ac:dyDescent="0.25">
      <c r="K810"/>
    </row>
    <row r="811" spans="11:11" x14ac:dyDescent="0.25">
      <c r="K811"/>
    </row>
    <row r="812" spans="11:11" x14ac:dyDescent="0.25">
      <c r="K812"/>
    </row>
    <row r="813" spans="11:11" x14ac:dyDescent="0.25">
      <c r="K813"/>
    </row>
    <row r="814" spans="11:11" x14ac:dyDescent="0.25">
      <c r="K814"/>
    </row>
    <row r="815" spans="11:11" x14ac:dyDescent="0.25">
      <c r="K815"/>
    </row>
    <row r="816" spans="11:11" x14ac:dyDescent="0.25">
      <c r="K816"/>
    </row>
    <row r="817" spans="11:11" x14ac:dyDescent="0.25">
      <c r="K817"/>
    </row>
    <row r="818" spans="11:11" x14ac:dyDescent="0.25">
      <c r="K818"/>
    </row>
    <row r="819" spans="11:11" x14ac:dyDescent="0.25">
      <c r="K819"/>
    </row>
    <row r="820" spans="11:11" x14ac:dyDescent="0.25">
      <c r="K820"/>
    </row>
    <row r="821" spans="11:11" x14ac:dyDescent="0.25">
      <c r="K821"/>
    </row>
    <row r="822" spans="11:11" x14ac:dyDescent="0.25">
      <c r="K822"/>
    </row>
    <row r="823" spans="11:11" x14ac:dyDescent="0.25">
      <c r="K823"/>
    </row>
    <row r="824" spans="11:11" x14ac:dyDescent="0.25">
      <c r="K824"/>
    </row>
    <row r="825" spans="11:11" x14ac:dyDescent="0.25">
      <c r="K825"/>
    </row>
    <row r="826" spans="11:11" x14ac:dyDescent="0.25">
      <c r="K826"/>
    </row>
    <row r="827" spans="11:11" x14ac:dyDescent="0.25">
      <c r="K827"/>
    </row>
    <row r="828" spans="11:11" x14ac:dyDescent="0.25">
      <c r="K828"/>
    </row>
    <row r="829" spans="11:11" x14ac:dyDescent="0.25">
      <c r="K829"/>
    </row>
    <row r="830" spans="11:11" x14ac:dyDescent="0.25">
      <c r="K830"/>
    </row>
    <row r="831" spans="11:11" x14ac:dyDescent="0.25">
      <c r="K831"/>
    </row>
    <row r="832" spans="11:11" x14ac:dyDescent="0.25">
      <c r="K832"/>
    </row>
    <row r="833" spans="11:11" x14ac:dyDescent="0.25">
      <c r="K833"/>
    </row>
    <row r="834" spans="11:11" x14ac:dyDescent="0.25">
      <c r="K834"/>
    </row>
    <row r="835" spans="11:11" x14ac:dyDescent="0.25">
      <c r="K835"/>
    </row>
    <row r="836" spans="11:11" x14ac:dyDescent="0.25">
      <c r="K836"/>
    </row>
    <row r="837" spans="11:11" x14ac:dyDescent="0.25">
      <c r="K837"/>
    </row>
    <row r="838" spans="11:11" x14ac:dyDescent="0.25">
      <c r="K838"/>
    </row>
    <row r="839" spans="11:11" x14ac:dyDescent="0.25">
      <c r="K839"/>
    </row>
    <row r="840" spans="11:11" x14ac:dyDescent="0.25">
      <c r="K840"/>
    </row>
    <row r="841" spans="11:11" x14ac:dyDescent="0.25">
      <c r="K841"/>
    </row>
    <row r="842" spans="11:11" x14ac:dyDescent="0.25">
      <c r="K842"/>
    </row>
    <row r="843" spans="11:11" x14ac:dyDescent="0.25">
      <c r="K843"/>
    </row>
    <row r="844" spans="11:11" x14ac:dyDescent="0.25">
      <c r="K844"/>
    </row>
    <row r="845" spans="11:11" x14ac:dyDescent="0.25">
      <c r="K845"/>
    </row>
    <row r="846" spans="11:11" x14ac:dyDescent="0.25">
      <c r="K846"/>
    </row>
    <row r="847" spans="11:11" x14ac:dyDescent="0.25">
      <c r="K847"/>
    </row>
    <row r="848" spans="11:11" x14ac:dyDescent="0.25">
      <c r="K848"/>
    </row>
    <row r="849" spans="11:11" x14ac:dyDescent="0.25">
      <c r="K849"/>
    </row>
    <row r="850" spans="11:11" x14ac:dyDescent="0.25">
      <c r="K850"/>
    </row>
    <row r="851" spans="11:11" x14ac:dyDescent="0.25">
      <c r="K851"/>
    </row>
    <row r="852" spans="11:11" x14ac:dyDescent="0.25">
      <c r="K852"/>
    </row>
    <row r="853" spans="11:11" x14ac:dyDescent="0.25">
      <c r="K853"/>
    </row>
    <row r="854" spans="11:11" x14ac:dyDescent="0.25">
      <c r="K854"/>
    </row>
    <row r="855" spans="11:11" x14ac:dyDescent="0.25">
      <c r="K855"/>
    </row>
    <row r="856" spans="11:11" x14ac:dyDescent="0.25">
      <c r="K856"/>
    </row>
    <row r="857" spans="11:11" x14ac:dyDescent="0.25">
      <c r="K857"/>
    </row>
    <row r="858" spans="11:11" x14ac:dyDescent="0.25">
      <c r="K858"/>
    </row>
    <row r="859" spans="11:11" x14ac:dyDescent="0.25">
      <c r="K859"/>
    </row>
    <row r="860" spans="11:11" x14ac:dyDescent="0.25">
      <c r="K860"/>
    </row>
    <row r="861" spans="11:11" x14ac:dyDescent="0.25">
      <c r="K861"/>
    </row>
    <row r="862" spans="11:11" x14ac:dyDescent="0.25">
      <c r="K862"/>
    </row>
    <row r="863" spans="11:11" x14ac:dyDescent="0.25">
      <c r="K863"/>
    </row>
    <row r="864" spans="11:11" x14ac:dyDescent="0.25">
      <c r="K864"/>
    </row>
    <row r="865" spans="11:11" x14ac:dyDescent="0.25">
      <c r="K865"/>
    </row>
    <row r="866" spans="11:11" x14ac:dyDescent="0.25">
      <c r="K866"/>
    </row>
    <row r="867" spans="11:11" x14ac:dyDescent="0.25">
      <c r="K867"/>
    </row>
    <row r="868" spans="11:11" x14ac:dyDescent="0.25">
      <c r="K868"/>
    </row>
    <row r="869" spans="11:11" x14ac:dyDescent="0.25">
      <c r="K869"/>
    </row>
    <row r="870" spans="11:11" x14ac:dyDescent="0.25">
      <c r="K870"/>
    </row>
    <row r="871" spans="11:11" x14ac:dyDescent="0.25">
      <c r="K871"/>
    </row>
    <row r="872" spans="11:11" x14ac:dyDescent="0.25">
      <c r="K872"/>
    </row>
    <row r="873" spans="11:11" x14ac:dyDescent="0.25">
      <c r="K873"/>
    </row>
    <row r="874" spans="11:11" x14ac:dyDescent="0.25">
      <c r="K874"/>
    </row>
    <row r="875" spans="11:11" x14ac:dyDescent="0.25">
      <c r="K875"/>
    </row>
    <row r="876" spans="11:11" x14ac:dyDescent="0.25">
      <c r="K876"/>
    </row>
    <row r="877" spans="11:11" x14ac:dyDescent="0.25">
      <c r="K877"/>
    </row>
    <row r="878" spans="11:11" x14ac:dyDescent="0.25">
      <c r="K878"/>
    </row>
    <row r="879" spans="11:11" x14ac:dyDescent="0.25">
      <c r="K879"/>
    </row>
    <row r="880" spans="11:11" x14ac:dyDescent="0.25">
      <c r="K880"/>
    </row>
    <row r="881" spans="11:11" x14ac:dyDescent="0.25">
      <c r="K881"/>
    </row>
    <row r="882" spans="11:11" x14ac:dyDescent="0.25">
      <c r="K882"/>
    </row>
    <row r="883" spans="11:11" x14ac:dyDescent="0.25">
      <c r="K883"/>
    </row>
    <row r="884" spans="11:11" x14ac:dyDescent="0.25">
      <c r="K884"/>
    </row>
    <row r="885" spans="11:11" x14ac:dyDescent="0.25">
      <c r="K885"/>
    </row>
    <row r="886" spans="11:11" x14ac:dyDescent="0.25">
      <c r="K886"/>
    </row>
    <row r="887" spans="11:11" x14ac:dyDescent="0.25">
      <c r="K887"/>
    </row>
    <row r="888" spans="11:11" x14ac:dyDescent="0.25">
      <c r="K888"/>
    </row>
    <row r="889" spans="11:11" x14ac:dyDescent="0.25">
      <c r="K889"/>
    </row>
    <row r="890" spans="11:11" x14ac:dyDescent="0.25">
      <c r="K890"/>
    </row>
    <row r="891" spans="11:11" x14ac:dyDescent="0.25">
      <c r="K891"/>
    </row>
    <row r="892" spans="11:11" x14ac:dyDescent="0.25">
      <c r="K892"/>
    </row>
    <row r="893" spans="11:11" x14ac:dyDescent="0.25">
      <c r="K893"/>
    </row>
    <row r="894" spans="11:11" x14ac:dyDescent="0.25">
      <c r="K894"/>
    </row>
    <row r="895" spans="11:11" x14ac:dyDescent="0.25">
      <c r="K895"/>
    </row>
    <row r="896" spans="11:11" x14ac:dyDescent="0.25">
      <c r="K896"/>
    </row>
    <row r="897" spans="11:11" x14ac:dyDescent="0.25">
      <c r="K897"/>
    </row>
    <row r="898" spans="11:11" x14ac:dyDescent="0.25">
      <c r="K898"/>
    </row>
    <row r="899" spans="11:11" x14ac:dyDescent="0.25">
      <c r="K899"/>
    </row>
    <row r="900" spans="11:11" x14ac:dyDescent="0.25">
      <c r="K900"/>
    </row>
    <row r="901" spans="11:11" x14ac:dyDescent="0.25">
      <c r="K901"/>
    </row>
    <row r="902" spans="11:11" x14ac:dyDescent="0.25">
      <c r="K902"/>
    </row>
    <row r="903" spans="11:11" x14ac:dyDescent="0.25">
      <c r="K903"/>
    </row>
    <row r="904" spans="11:11" x14ac:dyDescent="0.25">
      <c r="K904"/>
    </row>
    <row r="905" spans="11:11" x14ac:dyDescent="0.25">
      <c r="K905"/>
    </row>
    <row r="906" spans="11:11" x14ac:dyDescent="0.25">
      <c r="K906"/>
    </row>
    <row r="907" spans="11:11" x14ac:dyDescent="0.25">
      <c r="K907"/>
    </row>
    <row r="908" spans="11:11" x14ac:dyDescent="0.25">
      <c r="K908"/>
    </row>
    <row r="909" spans="11:11" x14ac:dyDescent="0.25">
      <c r="K909"/>
    </row>
    <row r="910" spans="11:11" x14ac:dyDescent="0.25">
      <c r="K910"/>
    </row>
    <row r="911" spans="11:11" x14ac:dyDescent="0.25">
      <c r="K911"/>
    </row>
    <row r="912" spans="11:11" x14ac:dyDescent="0.25">
      <c r="K912"/>
    </row>
    <row r="913" spans="11:11" x14ac:dyDescent="0.25">
      <c r="K913"/>
    </row>
    <row r="914" spans="11:11" x14ac:dyDescent="0.25">
      <c r="K914"/>
    </row>
    <row r="915" spans="11:11" x14ac:dyDescent="0.25">
      <c r="K915"/>
    </row>
    <row r="916" spans="11:11" x14ac:dyDescent="0.25">
      <c r="K916"/>
    </row>
    <row r="917" spans="11:11" x14ac:dyDescent="0.25">
      <c r="K917"/>
    </row>
    <row r="918" spans="11:11" x14ac:dyDescent="0.25">
      <c r="K918"/>
    </row>
    <row r="919" spans="11:11" x14ac:dyDescent="0.25">
      <c r="K919"/>
    </row>
    <row r="920" spans="11:11" x14ac:dyDescent="0.25">
      <c r="K920"/>
    </row>
    <row r="921" spans="11:11" x14ac:dyDescent="0.25">
      <c r="K921"/>
    </row>
    <row r="922" spans="11:11" x14ac:dyDescent="0.25">
      <c r="K922"/>
    </row>
    <row r="923" spans="11:11" x14ac:dyDescent="0.25">
      <c r="K923"/>
    </row>
    <row r="924" spans="11:11" x14ac:dyDescent="0.25">
      <c r="K924"/>
    </row>
    <row r="925" spans="11:11" x14ac:dyDescent="0.25">
      <c r="K925"/>
    </row>
    <row r="926" spans="11:11" x14ac:dyDescent="0.25">
      <c r="K926"/>
    </row>
    <row r="927" spans="11:11" x14ac:dyDescent="0.25">
      <c r="K927"/>
    </row>
    <row r="928" spans="11:11" x14ac:dyDescent="0.25">
      <c r="K928"/>
    </row>
    <row r="929" spans="11:11" x14ac:dyDescent="0.25">
      <c r="K929"/>
    </row>
    <row r="930" spans="11:11" x14ac:dyDescent="0.25">
      <c r="K930"/>
    </row>
    <row r="931" spans="11:11" x14ac:dyDescent="0.25">
      <c r="K931"/>
    </row>
    <row r="932" spans="11:11" x14ac:dyDescent="0.25">
      <c r="K932"/>
    </row>
    <row r="933" spans="11:11" x14ac:dyDescent="0.25">
      <c r="K933"/>
    </row>
    <row r="934" spans="11:11" x14ac:dyDescent="0.25">
      <c r="K934"/>
    </row>
    <row r="935" spans="11:11" x14ac:dyDescent="0.25">
      <c r="K935"/>
    </row>
    <row r="936" spans="11:11" x14ac:dyDescent="0.25">
      <c r="K936"/>
    </row>
    <row r="937" spans="11:11" x14ac:dyDescent="0.25">
      <c r="K937"/>
    </row>
    <row r="938" spans="11:11" x14ac:dyDescent="0.25">
      <c r="K938"/>
    </row>
    <row r="939" spans="11:11" x14ac:dyDescent="0.25">
      <c r="K939"/>
    </row>
    <row r="940" spans="11:11" x14ac:dyDescent="0.25">
      <c r="K940"/>
    </row>
    <row r="941" spans="11:11" x14ac:dyDescent="0.25">
      <c r="K941"/>
    </row>
    <row r="942" spans="11:11" x14ac:dyDescent="0.25">
      <c r="K942"/>
    </row>
    <row r="943" spans="11:11" x14ac:dyDescent="0.25">
      <c r="K943"/>
    </row>
    <row r="944" spans="11:11" x14ac:dyDescent="0.25">
      <c r="K944"/>
    </row>
    <row r="945" spans="11:11" x14ac:dyDescent="0.25">
      <c r="K945"/>
    </row>
    <row r="946" spans="11:11" x14ac:dyDescent="0.25">
      <c r="K946"/>
    </row>
    <row r="947" spans="11:11" x14ac:dyDescent="0.25">
      <c r="K947"/>
    </row>
    <row r="948" spans="11:11" x14ac:dyDescent="0.25">
      <c r="K948"/>
    </row>
    <row r="949" spans="11:11" x14ac:dyDescent="0.25">
      <c r="K949"/>
    </row>
    <row r="950" spans="11:11" x14ac:dyDescent="0.25">
      <c r="K950"/>
    </row>
    <row r="951" spans="11:11" x14ac:dyDescent="0.25">
      <c r="K951"/>
    </row>
    <row r="952" spans="11:11" x14ac:dyDescent="0.25">
      <c r="K952"/>
    </row>
    <row r="953" spans="11:11" x14ac:dyDescent="0.25">
      <c r="K953"/>
    </row>
    <row r="954" spans="11:11" x14ac:dyDescent="0.25">
      <c r="K954"/>
    </row>
    <row r="955" spans="11:11" x14ac:dyDescent="0.25">
      <c r="K955"/>
    </row>
    <row r="956" spans="11:11" x14ac:dyDescent="0.25">
      <c r="K956"/>
    </row>
    <row r="957" spans="11:11" x14ac:dyDescent="0.25">
      <c r="K957"/>
    </row>
    <row r="958" spans="11:11" x14ac:dyDescent="0.25">
      <c r="K958"/>
    </row>
    <row r="959" spans="11:11" x14ac:dyDescent="0.25">
      <c r="K959"/>
    </row>
    <row r="960" spans="11:11" x14ac:dyDescent="0.25">
      <c r="K960"/>
    </row>
    <row r="961" spans="11:11" x14ac:dyDescent="0.25">
      <c r="K961"/>
    </row>
    <row r="962" spans="11:11" x14ac:dyDescent="0.25">
      <c r="K962"/>
    </row>
    <row r="963" spans="11:11" x14ac:dyDescent="0.25">
      <c r="K963"/>
    </row>
    <row r="964" spans="11:11" x14ac:dyDescent="0.25">
      <c r="K964"/>
    </row>
    <row r="965" spans="11:11" x14ac:dyDescent="0.25">
      <c r="K965"/>
    </row>
    <row r="966" spans="11:11" x14ac:dyDescent="0.25">
      <c r="K966"/>
    </row>
    <row r="967" spans="11:11" x14ac:dyDescent="0.25">
      <c r="K967"/>
    </row>
    <row r="968" spans="11:11" x14ac:dyDescent="0.25">
      <c r="K968"/>
    </row>
    <row r="969" spans="11:11" x14ac:dyDescent="0.25">
      <c r="K969"/>
    </row>
    <row r="970" spans="11:11" x14ac:dyDescent="0.25">
      <c r="K970"/>
    </row>
    <row r="971" spans="11:11" x14ac:dyDescent="0.25">
      <c r="K971"/>
    </row>
    <row r="972" spans="11:11" x14ac:dyDescent="0.25">
      <c r="K972"/>
    </row>
    <row r="973" spans="11:11" x14ac:dyDescent="0.25">
      <c r="K973"/>
    </row>
    <row r="974" spans="11:11" x14ac:dyDescent="0.25">
      <c r="K974"/>
    </row>
    <row r="975" spans="11:11" x14ac:dyDescent="0.25">
      <c r="K975"/>
    </row>
    <row r="976" spans="11:11" x14ac:dyDescent="0.25">
      <c r="K976"/>
    </row>
    <row r="977" spans="11:11" x14ac:dyDescent="0.25">
      <c r="K977"/>
    </row>
    <row r="978" spans="11:11" x14ac:dyDescent="0.25">
      <c r="K978"/>
    </row>
    <row r="979" spans="11:11" x14ac:dyDescent="0.25">
      <c r="K979"/>
    </row>
    <row r="980" spans="11:11" x14ac:dyDescent="0.25">
      <c r="K980"/>
    </row>
    <row r="981" spans="11:11" x14ac:dyDescent="0.25">
      <c r="K981"/>
    </row>
    <row r="982" spans="11:11" x14ac:dyDescent="0.25">
      <c r="K982"/>
    </row>
    <row r="983" spans="11:11" x14ac:dyDescent="0.25">
      <c r="K983"/>
    </row>
    <row r="984" spans="11:11" x14ac:dyDescent="0.25">
      <c r="K984"/>
    </row>
    <row r="985" spans="11:11" x14ac:dyDescent="0.25">
      <c r="K985"/>
    </row>
    <row r="986" spans="11:11" x14ac:dyDescent="0.25">
      <c r="K986"/>
    </row>
    <row r="987" spans="11:11" x14ac:dyDescent="0.25">
      <c r="K987"/>
    </row>
    <row r="988" spans="11:11" x14ac:dyDescent="0.25">
      <c r="K988"/>
    </row>
    <row r="989" spans="11:11" x14ac:dyDescent="0.25">
      <c r="K989"/>
    </row>
    <row r="990" spans="11:11" x14ac:dyDescent="0.25">
      <c r="K990"/>
    </row>
    <row r="991" spans="11:11" x14ac:dyDescent="0.25">
      <c r="K991"/>
    </row>
    <row r="992" spans="11:11" x14ac:dyDescent="0.25">
      <c r="K992"/>
    </row>
    <row r="993" spans="11:11" x14ac:dyDescent="0.25">
      <c r="K993"/>
    </row>
    <row r="994" spans="11:11" x14ac:dyDescent="0.25">
      <c r="K994"/>
    </row>
    <row r="995" spans="11:11" x14ac:dyDescent="0.25">
      <c r="K995"/>
    </row>
    <row r="996" spans="11:11" x14ac:dyDescent="0.25">
      <c r="K996"/>
    </row>
    <row r="997" spans="11:11" x14ac:dyDescent="0.25">
      <c r="K997"/>
    </row>
    <row r="998" spans="11:11" x14ac:dyDescent="0.25">
      <c r="K998"/>
    </row>
    <row r="999" spans="11:11" x14ac:dyDescent="0.25">
      <c r="K999"/>
    </row>
    <row r="1000" spans="11:11" x14ac:dyDescent="0.25">
      <c r="K1000"/>
    </row>
    <row r="1001" spans="11:11" x14ac:dyDescent="0.25">
      <c r="K1001"/>
    </row>
    <row r="1002" spans="11:11" x14ac:dyDescent="0.25">
      <c r="K1002"/>
    </row>
    <row r="1003" spans="11:11" x14ac:dyDescent="0.25">
      <c r="K1003"/>
    </row>
    <row r="1004" spans="11:11" x14ac:dyDescent="0.25">
      <c r="K1004"/>
    </row>
    <row r="1005" spans="11:11" x14ac:dyDescent="0.25">
      <c r="K1005"/>
    </row>
    <row r="1006" spans="11:11" x14ac:dyDescent="0.25">
      <c r="K1006"/>
    </row>
    <row r="1007" spans="11:11" x14ac:dyDescent="0.25">
      <c r="K1007"/>
    </row>
    <row r="1008" spans="11:11" x14ac:dyDescent="0.25">
      <c r="K1008"/>
    </row>
    <row r="1009" spans="11:11" x14ac:dyDescent="0.25">
      <c r="K1009"/>
    </row>
    <row r="1010" spans="11:11" x14ac:dyDescent="0.25">
      <c r="K1010"/>
    </row>
    <row r="1011" spans="11:11" x14ac:dyDescent="0.25">
      <c r="K1011"/>
    </row>
    <row r="1012" spans="11:11" x14ac:dyDescent="0.25">
      <c r="K1012"/>
    </row>
    <row r="1013" spans="11:11" x14ac:dyDescent="0.25">
      <c r="K1013"/>
    </row>
    <row r="1014" spans="11:11" x14ac:dyDescent="0.25">
      <c r="K1014"/>
    </row>
    <row r="1015" spans="11:11" x14ac:dyDescent="0.25">
      <c r="K1015"/>
    </row>
    <row r="1016" spans="11:11" x14ac:dyDescent="0.25">
      <c r="K1016"/>
    </row>
    <row r="1017" spans="11:11" x14ac:dyDescent="0.25">
      <c r="K1017"/>
    </row>
    <row r="1018" spans="11:11" x14ac:dyDescent="0.25">
      <c r="K1018"/>
    </row>
    <row r="1019" spans="11:11" x14ac:dyDescent="0.25">
      <c r="K1019"/>
    </row>
    <row r="1020" spans="11:11" x14ac:dyDescent="0.25">
      <c r="K1020"/>
    </row>
    <row r="1021" spans="11:11" x14ac:dyDescent="0.25">
      <c r="K1021"/>
    </row>
    <row r="1022" spans="11:11" x14ac:dyDescent="0.25">
      <c r="K1022"/>
    </row>
    <row r="1023" spans="11:11" x14ac:dyDescent="0.25">
      <c r="K1023"/>
    </row>
    <row r="1024" spans="11:11" x14ac:dyDescent="0.25">
      <c r="K1024"/>
    </row>
    <row r="1025" spans="11:11" x14ac:dyDescent="0.25">
      <c r="K1025"/>
    </row>
    <row r="1026" spans="11:11" x14ac:dyDescent="0.25">
      <c r="K1026"/>
    </row>
    <row r="1027" spans="11:11" x14ac:dyDescent="0.25">
      <c r="K1027"/>
    </row>
    <row r="1028" spans="11:11" x14ac:dyDescent="0.25">
      <c r="K1028"/>
    </row>
    <row r="1029" spans="11:11" x14ac:dyDescent="0.25">
      <c r="K1029"/>
    </row>
    <row r="1030" spans="11:11" x14ac:dyDescent="0.25">
      <c r="K1030"/>
    </row>
    <row r="1031" spans="11:11" x14ac:dyDescent="0.25">
      <c r="K1031"/>
    </row>
    <row r="1032" spans="11:11" x14ac:dyDescent="0.25">
      <c r="K1032"/>
    </row>
    <row r="1033" spans="11:11" x14ac:dyDescent="0.25">
      <c r="K1033"/>
    </row>
    <row r="1034" spans="11:11" x14ac:dyDescent="0.25">
      <c r="K1034"/>
    </row>
    <row r="1035" spans="11:11" x14ac:dyDescent="0.25">
      <c r="K1035"/>
    </row>
    <row r="1036" spans="11:11" x14ac:dyDescent="0.25">
      <c r="K1036"/>
    </row>
    <row r="1037" spans="11:11" x14ac:dyDescent="0.25">
      <c r="K1037"/>
    </row>
    <row r="1038" spans="11:11" x14ac:dyDescent="0.25">
      <c r="K1038"/>
    </row>
    <row r="1039" spans="11:11" x14ac:dyDescent="0.25">
      <c r="K1039"/>
    </row>
    <row r="1040" spans="11:11" x14ac:dyDescent="0.25">
      <c r="K1040"/>
    </row>
    <row r="1041" spans="11:11" x14ac:dyDescent="0.25">
      <c r="K1041"/>
    </row>
    <row r="1042" spans="11:11" x14ac:dyDescent="0.25">
      <c r="K1042"/>
    </row>
    <row r="1043" spans="11:11" x14ac:dyDescent="0.25">
      <c r="K1043"/>
    </row>
    <row r="1044" spans="11:11" x14ac:dyDescent="0.25">
      <c r="K1044"/>
    </row>
    <row r="1045" spans="11:11" x14ac:dyDescent="0.25">
      <c r="K1045"/>
    </row>
    <row r="1046" spans="11:11" x14ac:dyDescent="0.25">
      <c r="K1046"/>
    </row>
    <row r="1047" spans="11:11" x14ac:dyDescent="0.25">
      <c r="K1047"/>
    </row>
    <row r="1048" spans="11:11" x14ac:dyDescent="0.25">
      <c r="K1048"/>
    </row>
    <row r="1049" spans="11:11" x14ac:dyDescent="0.25">
      <c r="K1049"/>
    </row>
    <row r="1050" spans="11:11" x14ac:dyDescent="0.25">
      <c r="K1050"/>
    </row>
    <row r="1051" spans="11:11" x14ac:dyDescent="0.25">
      <c r="K1051"/>
    </row>
    <row r="1052" spans="11:11" x14ac:dyDescent="0.25">
      <c r="K1052"/>
    </row>
    <row r="1053" spans="11:11" x14ac:dyDescent="0.25">
      <c r="K1053"/>
    </row>
    <row r="1054" spans="11:11" x14ac:dyDescent="0.25">
      <c r="K1054"/>
    </row>
    <row r="1055" spans="11:11" x14ac:dyDescent="0.25">
      <c r="K1055"/>
    </row>
    <row r="1056" spans="11:11" x14ac:dyDescent="0.25">
      <c r="K1056"/>
    </row>
    <row r="1057" spans="11:11" x14ac:dyDescent="0.25">
      <c r="K1057"/>
    </row>
    <row r="1058" spans="11:11" x14ac:dyDescent="0.25">
      <c r="K1058"/>
    </row>
    <row r="1059" spans="11:11" x14ac:dyDescent="0.25">
      <c r="K1059"/>
    </row>
    <row r="1060" spans="11:11" x14ac:dyDescent="0.25">
      <c r="K1060"/>
    </row>
    <row r="1061" spans="11:11" x14ac:dyDescent="0.25">
      <c r="K1061"/>
    </row>
    <row r="1062" spans="11:11" x14ac:dyDescent="0.25">
      <c r="K1062"/>
    </row>
    <row r="1063" spans="11:11" x14ac:dyDescent="0.25">
      <c r="K1063"/>
    </row>
    <row r="1064" spans="11:11" x14ac:dyDescent="0.25">
      <c r="K1064"/>
    </row>
    <row r="1065" spans="11:11" x14ac:dyDescent="0.25">
      <c r="K1065"/>
    </row>
    <row r="1066" spans="11:11" x14ac:dyDescent="0.25">
      <c r="K1066"/>
    </row>
    <row r="1067" spans="11:11" x14ac:dyDescent="0.25">
      <c r="K1067"/>
    </row>
    <row r="1068" spans="11:11" x14ac:dyDescent="0.25">
      <c r="K1068"/>
    </row>
    <row r="1069" spans="11:11" x14ac:dyDescent="0.25">
      <c r="K1069"/>
    </row>
    <row r="1070" spans="11:11" x14ac:dyDescent="0.25">
      <c r="K1070"/>
    </row>
    <row r="1071" spans="11:11" x14ac:dyDescent="0.25">
      <c r="K1071"/>
    </row>
    <row r="1072" spans="11:11" x14ac:dyDescent="0.25">
      <c r="K1072"/>
    </row>
    <row r="1073" spans="11:11" x14ac:dyDescent="0.25">
      <c r="K1073"/>
    </row>
    <row r="1074" spans="11:11" x14ac:dyDescent="0.25">
      <c r="K1074"/>
    </row>
    <row r="1075" spans="11:11" x14ac:dyDescent="0.25">
      <c r="K1075"/>
    </row>
    <row r="1076" spans="11:11" x14ac:dyDescent="0.25">
      <c r="K1076"/>
    </row>
    <row r="1077" spans="11:11" x14ac:dyDescent="0.25">
      <c r="K1077"/>
    </row>
    <row r="1078" spans="11:11" x14ac:dyDescent="0.25">
      <c r="K1078"/>
    </row>
    <row r="1079" spans="11:11" x14ac:dyDescent="0.25">
      <c r="K1079"/>
    </row>
    <row r="1080" spans="11:11" x14ac:dyDescent="0.25">
      <c r="K1080"/>
    </row>
    <row r="1081" spans="11:11" x14ac:dyDescent="0.25">
      <c r="K1081"/>
    </row>
    <row r="1082" spans="11:11" x14ac:dyDescent="0.25">
      <c r="K1082"/>
    </row>
    <row r="1083" spans="11:11" x14ac:dyDescent="0.25">
      <c r="K1083"/>
    </row>
    <row r="1084" spans="11:11" x14ac:dyDescent="0.25">
      <c r="K1084"/>
    </row>
    <row r="1085" spans="11:11" x14ac:dyDescent="0.25">
      <c r="K1085"/>
    </row>
    <row r="1086" spans="11:11" x14ac:dyDescent="0.25">
      <c r="K1086"/>
    </row>
    <row r="1087" spans="11:11" x14ac:dyDescent="0.25">
      <c r="K1087"/>
    </row>
    <row r="1088" spans="11:11" x14ac:dyDescent="0.25">
      <c r="K1088"/>
    </row>
    <row r="1089" spans="11:11" x14ac:dyDescent="0.25">
      <c r="K1089"/>
    </row>
    <row r="1090" spans="11:11" x14ac:dyDescent="0.25">
      <c r="K1090"/>
    </row>
    <row r="1091" spans="11:11" x14ac:dyDescent="0.25">
      <c r="K1091"/>
    </row>
    <row r="1092" spans="11:11" x14ac:dyDescent="0.25">
      <c r="K1092"/>
    </row>
    <row r="1093" spans="11:11" x14ac:dyDescent="0.25">
      <c r="K1093"/>
    </row>
    <row r="1094" spans="11:11" x14ac:dyDescent="0.25">
      <c r="K1094"/>
    </row>
    <row r="1095" spans="11:11" x14ac:dyDescent="0.25">
      <c r="K1095"/>
    </row>
    <row r="1096" spans="11:11" x14ac:dyDescent="0.25">
      <c r="K1096"/>
    </row>
    <row r="1097" spans="11:11" x14ac:dyDescent="0.25">
      <c r="K1097"/>
    </row>
    <row r="1098" spans="11:11" x14ac:dyDescent="0.25">
      <c r="K1098"/>
    </row>
    <row r="1099" spans="11:11" x14ac:dyDescent="0.25">
      <c r="K1099"/>
    </row>
    <row r="1100" spans="11:11" x14ac:dyDescent="0.25">
      <c r="K1100"/>
    </row>
    <row r="1101" spans="11:11" x14ac:dyDescent="0.25">
      <c r="K1101"/>
    </row>
    <row r="1102" spans="11:11" x14ac:dyDescent="0.25">
      <c r="K1102"/>
    </row>
    <row r="1103" spans="11:11" x14ac:dyDescent="0.25">
      <c r="K1103"/>
    </row>
    <row r="1104" spans="11:11" x14ac:dyDescent="0.25">
      <c r="K1104"/>
    </row>
    <row r="1105" spans="11:11" x14ac:dyDescent="0.25">
      <c r="K1105"/>
    </row>
    <row r="1106" spans="11:11" x14ac:dyDescent="0.25">
      <c r="K1106"/>
    </row>
    <row r="1107" spans="11:11" x14ac:dyDescent="0.25">
      <c r="K1107"/>
    </row>
    <row r="1108" spans="11:11" x14ac:dyDescent="0.25">
      <c r="K1108"/>
    </row>
    <row r="1109" spans="11:11" x14ac:dyDescent="0.25">
      <c r="K1109"/>
    </row>
    <row r="1110" spans="11:11" x14ac:dyDescent="0.25">
      <c r="K1110"/>
    </row>
    <row r="1111" spans="11:11" x14ac:dyDescent="0.25">
      <c r="K1111"/>
    </row>
    <row r="1112" spans="11:11" x14ac:dyDescent="0.25">
      <c r="K1112"/>
    </row>
    <row r="1113" spans="11:11" x14ac:dyDescent="0.25">
      <c r="K1113"/>
    </row>
    <row r="1114" spans="11:11" x14ac:dyDescent="0.25">
      <c r="K1114"/>
    </row>
    <row r="1115" spans="11:11" x14ac:dyDescent="0.25">
      <c r="K1115"/>
    </row>
    <row r="1116" spans="11:11" x14ac:dyDescent="0.25">
      <c r="K1116"/>
    </row>
    <row r="1117" spans="11:11" x14ac:dyDescent="0.25">
      <c r="K1117"/>
    </row>
    <row r="1118" spans="11:11" x14ac:dyDescent="0.25">
      <c r="K1118"/>
    </row>
    <row r="1119" spans="11:11" x14ac:dyDescent="0.25">
      <c r="K1119"/>
    </row>
    <row r="1120" spans="11:11" x14ac:dyDescent="0.25">
      <c r="K1120"/>
    </row>
    <row r="1121" spans="11:11" x14ac:dyDescent="0.25">
      <c r="K1121"/>
    </row>
    <row r="1122" spans="11:11" x14ac:dyDescent="0.25">
      <c r="K1122"/>
    </row>
    <row r="1123" spans="11:11" x14ac:dyDescent="0.25">
      <c r="K1123"/>
    </row>
    <row r="1124" spans="11:11" x14ac:dyDescent="0.25">
      <c r="K1124"/>
    </row>
    <row r="1125" spans="11:11" x14ac:dyDescent="0.25">
      <c r="K1125"/>
    </row>
    <row r="1126" spans="11:11" x14ac:dyDescent="0.25">
      <c r="K1126"/>
    </row>
    <row r="1127" spans="11:11" x14ac:dyDescent="0.25">
      <c r="K1127"/>
    </row>
    <row r="1128" spans="11:11" x14ac:dyDescent="0.25">
      <c r="K1128"/>
    </row>
    <row r="1129" spans="11:11" x14ac:dyDescent="0.25">
      <c r="K1129"/>
    </row>
    <row r="1130" spans="11:11" x14ac:dyDescent="0.25">
      <c r="K1130"/>
    </row>
    <row r="1131" spans="11:11" x14ac:dyDescent="0.25">
      <c r="K1131"/>
    </row>
    <row r="1132" spans="11:11" x14ac:dyDescent="0.25">
      <c r="K1132"/>
    </row>
    <row r="1133" spans="11:11" x14ac:dyDescent="0.25">
      <c r="K1133"/>
    </row>
    <row r="1134" spans="11:11" x14ac:dyDescent="0.25">
      <c r="K1134"/>
    </row>
    <row r="1135" spans="11:11" x14ac:dyDescent="0.25">
      <c r="K1135"/>
    </row>
    <row r="1136" spans="11:11" x14ac:dyDescent="0.25">
      <c r="K1136"/>
    </row>
    <row r="1137" spans="11:11" x14ac:dyDescent="0.25">
      <c r="K1137"/>
    </row>
    <row r="1138" spans="11:11" x14ac:dyDescent="0.25">
      <c r="K1138"/>
    </row>
    <row r="1139" spans="11:11" x14ac:dyDescent="0.25">
      <c r="K1139"/>
    </row>
    <row r="1140" spans="11:11" x14ac:dyDescent="0.25">
      <c r="K1140"/>
    </row>
    <row r="1141" spans="11:11" x14ac:dyDescent="0.25">
      <c r="K1141"/>
    </row>
    <row r="1142" spans="11:11" x14ac:dyDescent="0.25">
      <c r="K1142"/>
    </row>
    <row r="1143" spans="11:11" x14ac:dyDescent="0.25">
      <c r="K1143"/>
    </row>
    <row r="1144" spans="11:11" x14ac:dyDescent="0.25">
      <c r="K1144"/>
    </row>
    <row r="1145" spans="11:11" x14ac:dyDescent="0.25">
      <c r="K1145"/>
    </row>
    <row r="1146" spans="11:11" x14ac:dyDescent="0.25">
      <c r="K1146"/>
    </row>
    <row r="1147" spans="11:11" x14ac:dyDescent="0.25">
      <c r="K1147"/>
    </row>
    <row r="1148" spans="11:11" x14ac:dyDescent="0.25">
      <c r="K1148"/>
    </row>
    <row r="1149" spans="11:11" x14ac:dyDescent="0.25">
      <c r="K1149"/>
    </row>
    <row r="1150" spans="11:11" x14ac:dyDescent="0.25">
      <c r="K1150"/>
    </row>
    <row r="1151" spans="11:11" x14ac:dyDescent="0.25">
      <c r="K1151"/>
    </row>
    <row r="1152" spans="11:11" x14ac:dyDescent="0.25">
      <c r="K1152"/>
    </row>
    <row r="1153" spans="11:11" x14ac:dyDescent="0.25">
      <c r="K1153"/>
    </row>
    <row r="1154" spans="11:11" x14ac:dyDescent="0.25">
      <c r="K1154"/>
    </row>
    <row r="1155" spans="11:11" x14ac:dyDescent="0.25">
      <c r="K1155"/>
    </row>
    <row r="1156" spans="11:11" x14ac:dyDescent="0.25">
      <c r="K1156"/>
    </row>
    <row r="1157" spans="11:11" x14ac:dyDescent="0.25">
      <c r="K1157"/>
    </row>
    <row r="1158" spans="11:11" x14ac:dyDescent="0.25">
      <c r="K1158"/>
    </row>
    <row r="1159" spans="11:11" x14ac:dyDescent="0.25">
      <c r="K1159"/>
    </row>
    <row r="1160" spans="11:11" x14ac:dyDescent="0.25">
      <c r="K1160"/>
    </row>
    <row r="1161" spans="11:11" x14ac:dyDescent="0.25">
      <c r="K1161"/>
    </row>
    <row r="1162" spans="11:11" x14ac:dyDescent="0.25">
      <c r="K1162"/>
    </row>
    <row r="1163" spans="11:11" x14ac:dyDescent="0.25">
      <c r="K1163"/>
    </row>
    <row r="1164" spans="11:11" x14ac:dyDescent="0.25">
      <c r="K1164"/>
    </row>
    <row r="1165" spans="11:11" x14ac:dyDescent="0.25">
      <c r="K1165"/>
    </row>
    <row r="1166" spans="11:11" x14ac:dyDescent="0.25">
      <c r="K1166"/>
    </row>
    <row r="1167" spans="11:11" x14ac:dyDescent="0.25">
      <c r="K1167"/>
    </row>
    <row r="1168" spans="11:11" x14ac:dyDescent="0.25">
      <c r="K1168"/>
    </row>
    <row r="1169" spans="11:11" x14ac:dyDescent="0.25">
      <c r="K1169"/>
    </row>
    <row r="1170" spans="11:11" x14ac:dyDescent="0.25">
      <c r="K1170"/>
    </row>
    <row r="1171" spans="11:11" x14ac:dyDescent="0.25">
      <c r="K1171"/>
    </row>
    <row r="1172" spans="11:11" x14ac:dyDescent="0.25">
      <c r="K1172"/>
    </row>
    <row r="1173" spans="11:11" x14ac:dyDescent="0.25">
      <c r="K1173"/>
    </row>
    <row r="1174" spans="11:11" x14ac:dyDescent="0.25">
      <c r="K1174"/>
    </row>
    <row r="1175" spans="11:11" x14ac:dyDescent="0.25">
      <c r="K1175"/>
    </row>
    <row r="1176" spans="11:11" x14ac:dyDescent="0.25">
      <c r="K1176"/>
    </row>
    <row r="1177" spans="11:11" x14ac:dyDescent="0.25">
      <c r="K1177"/>
    </row>
    <row r="1178" spans="11:11" x14ac:dyDescent="0.25">
      <c r="K1178"/>
    </row>
    <row r="1179" spans="11:11" x14ac:dyDescent="0.25">
      <c r="K1179"/>
    </row>
    <row r="1180" spans="11:11" x14ac:dyDescent="0.25">
      <c r="K1180"/>
    </row>
    <row r="1181" spans="11:11" x14ac:dyDescent="0.25">
      <c r="K1181"/>
    </row>
    <row r="1182" spans="11:11" x14ac:dyDescent="0.25">
      <c r="K1182"/>
    </row>
    <row r="1183" spans="11:11" x14ac:dyDescent="0.25">
      <c r="K1183"/>
    </row>
    <row r="1184" spans="11:11" x14ac:dyDescent="0.25">
      <c r="K1184"/>
    </row>
    <row r="1185" spans="11:11" x14ac:dyDescent="0.25">
      <c r="K1185"/>
    </row>
    <row r="1186" spans="11:11" x14ac:dyDescent="0.25">
      <c r="K1186"/>
    </row>
    <row r="1187" spans="11:11" x14ac:dyDescent="0.25">
      <c r="K1187"/>
    </row>
    <row r="1188" spans="11:11" x14ac:dyDescent="0.25">
      <c r="K1188"/>
    </row>
    <row r="1189" spans="11:11" x14ac:dyDescent="0.25">
      <c r="K1189"/>
    </row>
    <row r="1190" spans="11:11" x14ac:dyDescent="0.25">
      <c r="K1190"/>
    </row>
    <row r="1191" spans="11:11" x14ac:dyDescent="0.25">
      <c r="K1191"/>
    </row>
    <row r="1192" spans="11:11" x14ac:dyDescent="0.25">
      <c r="K1192"/>
    </row>
    <row r="1193" spans="11:11" x14ac:dyDescent="0.25">
      <c r="K1193"/>
    </row>
    <row r="1194" spans="11:11" x14ac:dyDescent="0.25">
      <c r="K1194"/>
    </row>
    <row r="1195" spans="11:11" x14ac:dyDescent="0.25">
      <c r="K1195"/>
    </row>
    <row r="1196" spans="11:11" x14ac:dyDescent="0.25">
      <c r="K1196"/>
    </row>
    <row r="1197" spans="11:11" x14ac:dyDescent="0.25">
      <c r="K1197"/>
    </row>
    <row r="1198" spans="11:11" x14ac:dyDescent="0.25">
      <c r="K1198"/>
    </row>
    <row r="1199" spans="11:11" x14ac:dyDescent="0.25">
      <c r="K1199"/>
    </row>
    <row r="1200" spans="11:11" x14ac:dyDescent="0.25">
      <c r="K1200"/>
    </row>
    <row r="1201" spans="11:11" x14ac:dyDescent="0.25">
      <c r="K1201"/>
    </row>
    <row r="1202" spans="11:11" x14ac:dyDescent="0.25">
      <c r="K1202"/>
    </row>
    <row r="1203" spans="11:11" x14ac:dyDescent="0.25">
      <c r="K1203"/>
    </row>
    <row r="1204" spans="11:11" x14ac:dyDescent="0.25">
      <c r="K1204"/>
    </row>
    <row r="1205" spans="11:11" x14ac:dyDescent="0.25">
      <c r="K1205"/>
    </row>
    <row r="1206" spans="11:11" x14ac:dyDescent="0.25">
      <c r="K1206"/>
    </row>
    <row r="1207" spans="11:11" x14ac:dyDescent="0.25">
      <c r="K1207"/>
    </row>
    <row r="1208" spans="11:11" x14ac:dyDescent="0.25">
      <c r="K1208"/>
    </row>
    <row r="1209" spans="11:11" x14ac:dyDescent="0.25">
      <c r="K1209"/>
    </row>
    <row r="1210" spans="11:11" x14ac:dyDescent="0.25">
      <c r="K1210"/>
    </row>
    <row r="1211" spans="11:11" x14ac:dyDescent="0.25">
      <c r="K1211"/>
    </row>
    <row r="1212" spans="11:11" x14ac:dyDescent="0.25">
      <c r="K1212"/>
    </row>
    <row r="1213" spans="11:11" x14ac:dyDescent="0.25">
      <c r="K1213"/>
    </row>
    <row r="1214" spans="11:11" x14ac:dyDescent="0.25">
      <c r="K1214"/>
    </row>
    <row r="1215" spans="11:11" x14ac:dyDescent="0.25">
      <c r="K1215"/>
    </row>
    <row r="1216" spans="11:11" x14ac:dyDescent="0.25">
      <c r="K1216"/>
    </row>
    <row r="1217" spans="11:11" x14ac:dyDescent="0.25">
      <c r="K1217"/>
    </row>
    <row r="1218" spans="11:11" x14ac:dyDescent="0.25">
      <c r="K1218"/>
    </row>
    <row r="1219" spans="11:11" x14ac:dyDescent="0.25">
      <c r="K1219"/>
    </row>
    <row r="1220" spans="11:11" x14ac:dyDescent="0.25">
      <c r="K1220"/>
    </row>
    <row r="1221" spans="11:11" x14ac:dyDescent="0.25">
      <c r="K1221"/>
    </row>
    <row r="1222" spans="11:11" x14ac:dyDescent="0.25">
      <c r="K1222"/>
    </row>
    <row r="1223" spans="11:11" x14ac:dyDescent="0.25">
      <c r="K1223"/>
    </row>
    <row r="1224" spans="11:11" x14ac:dyDescent="0.25">
      <c r="K1224"/>
    </row>
    <row r="1225" spans="11:11" x14ac:dyDescent="0.25">
      <c r="K1225"/>
    </row>
    <row r="1226" spans="11:11" x14ac:dyDescent="0.25">
      <c r="K1226"/>
    </row>
    <row r="1227" spans="11:11" x14ac:dyDescent="0.25">
      <c r="K1227"/>
    </row>
    <row r="1228" spans="11:11" x14ac:dyDescent="0.25">
      <c r="K1228"/>
    </row>
    <row r="1229" spans="11:11" x14ac:dyDescent="0.25">
      <c r="K1229"/>
    </row>
    <row r="1230" spans="11:11" x14ac:dyDescent="0.25">
      <c r="K1230"/>
    </row>
    <row r="1231" spans="11:11" x14ac:dyDescent="0.25">
      <c r="K1231"/>
    </row>
    <row r="1232" spans="11:11" x14ac:dyDescent="0.25">
      <c r="K1232"/>
    </row>
    <row r="1233" spans="11:11" x14ac:dyDescent="0.25">
      <c r="K1233"/>
    </row>
    <row r="1234" spans="11:11" x14ac:dyDescent="0.25">
      <c r="K1234"/>
    </row>
    <row r="1235" spans="11:11" x14ac:dyDescent="0.25">
      <c r="K1235"/>
    </row>
    <row r="1236" spans="11:11" x14ac:dyDescent="0.25">
      <c r="K1236"/>
    </row>
    <row r="1237" spans="11:11" x14ac:dyDescent="0.25">
      <c r="K1237"/>
    </row>
    <row r="1238" spans="11:11" x14ac:dyDescent="0.25">
      <c r="K1238"/>
    </row>
    <row r="1239" spans="11:11" x14ac:dyDescent="0.25">
      <c r="K1239"/>
    </row>
    <row r="1240" spans="11:11" x14ac:dyDescent="0.25">
      <c r="K1240"/>
    </row>
    <row r="1241" spans="11:11" x14ac:dyDescent="0.25">
      <c r="K1241"/>
    </row>
    <row r="1242" spans="11:11" x14ac:dyDescent="0.25">
      <c r="K1242"/>
    </row>
    <row r="1243" spans="11:11" x14ac:dyDescent="0.25">
      <c r="K1243"/>
    </row>
    <row r="1244" spans="11:11" x14ac:dyDescent="0.25">
      <c r="K1244"/>
    </row>
    <row r="1245" spans="11:11" x14ac:dyDescent="0.25">
      <c r="K1245"/>
    </row>
    <row r="1246" spans="11:11" x14ac:dyDescent="0.25">
      <c r="K1246"/>
    </row>
    <row r="1247" spans="11:11" x14ac:dyDescent="0.25">
      <c r="K1247"/>
    </row>
    <row r="1248" spans="11:11" x14ac:dyDescent="0.25">
      <c r="K1248"/>
    </row>
    <row r="1249" spans="11:11" x14ac:dyDescent="0.25">
      <c r="K1249"/>
    </row>
    <row r="1250" spans="11:11" x14ac:dyDescent="0.25">
      <c r="K1250"/>
    </row>
    <row r="1251" spans="11:11" x14ac:dyDescent="0.25">
      <c r="K1251"/>
    </row>
    <row r="1252" spans="11:11" x14ac:dyDescent="0.25">
      <c r="K1252"/>
    </row>
    <row r="1253" spans="11:11" x14ac:dyDescent="0.25">
      <c r="K1253"/>
    </row>
    <row r="1254" spans="11:11" x14ac:dyDescent="0.25">
      <c r="K1254"/>
    </row>
    <row r="1255" spans="11:11" x14ac:dyDescent="0.25">
      <c r="K1255"/>
    </row>
    <row r="1256" spans="11:11" x14ac:dyDescent="0.25">
      <c r="K1256"/>
    </row>
    <row r="1257" spans="11:11" x14ac:dyDescent="0.25">
      <c r="K1257"/>
    </row>
    <row r="1258" spans="11:11" x14ac:dyDescent="0.25">
      <c r="K1258"/>
    </row>
    <row r="1259" spans="11:11" x14ac:dyDescent="0.25">
      <c r="K1259"/>
    </row>
    <row r="1260" spans="11:11" x14ac:dyDescent="0.25">
      <c r="K1260"/>
    </row>
    <row r="1261" spans="11:11" x14ac:dyDescent="0.25">
      <c r="K1261"/>
    </row>
    <row r="1262" spans="11:11" x14ac:dyDescent="0.25">
      <c r="K1262"/>
    </row>
    <row r="1263" spans="11:11" x14ac:dyDescent="0.25">
      <c r="K1263"/>
    </row>
    <row r="1264" spans="11:11" x14ac:dyDescent="0.25">
      <c r="K1264"/>
    </row>
    <row r="1265" spans="11:11" x14ac:dyDescent="0.25">
      <c r="K1265"/>
    </row>
    <row r="1266" spans="11:11" x14ac:dyDescent="0.25">
      <c r="K1266"/>
    </row>
    <row r="1267" spans="11:11" x14ac:dyDescent="0.25">
      <c r="K1267"/>
    </row>
    <row r="1268" spans="11:11" x14ac:dyDescent="0.25">
      <c r="K1268"/>
    </row>
    <row r="1269" spans="11:11" x14ac:dyDescent="0.25">
      <c r="K1269"/>
    </row>
    <row r="1270" spans="11:11" x14ac:dyDescent="0.25">
      <c r="K1270"/>
    </row>
    <row r="1271" spans="11:11" x14ac:dyDescent="0.25">
      <c r="K1271"/>
    </row>
    <row r="1272" spans="11:11" x14ac:dyDescent="0.25">
      <c r="K1272"/>
    </row>
    <row r="1273" spans="11:11" x14ac:dyDescent="0.25">
      <c r="K1273"/>
    </row>
    <row r="1274" spans="11:11" x14ac:dyDescent="0.25">
      <c r="K1274"/>
    </row>
    <row r="1275" spans="11:11" x14ac:dyDescent="0.25">
      <c r="K1275"/>
    </row>
    <row r="1276" spans="11:11" x14ac:dyDescent="0.25">
      <c r="K1276"/>
    </row>
    <row r="1277" spans="11:11" x14ac:dyDescent="0.25">
      <c r="K1277"/>
    </row>
    <row r="1278" spans="11:11" x14ac:dyDescent="0.25">
      <c r="K1278"/>
    </row>
    <row r="1279" spans="11:11" x14ac:dyDescent="0.25">
      <c r="K1279"/>
    </row>
    <row r="1280" spans="11:11" x14ac:dyDescent="0.25">
      <c r="K1280"/>
    </row>
    <row r="1281" spans="11:11" x14ac:dyDescent="0.25">
      <c r="K1281"/>
    </row>
    <row r="1282" spans="11:11" x14ac:dyDescent="0.25">
      <c r="K1282"/>
    </row>
    <row r="1283" spans="11:11" x14ac:dyDescent="0.25">
      <c r="K1283"/>
    </row>
    <row r="1284" spans="11:11" x14ac:dyDescent="0.25">
      <c r="K1284"/>
    </row>
    <row r="1285" spans="11:11" x14ac:dyDescent="0.25">
      <c r="K1285"/>
    </row>
    <row r="1286" spans="11:11" x14ac:dyDescent="0.25">
      <c r="K1286"/>
    </row>
    <row r="1287" spans="11:11" x14ac:dyDescent="0.25">
      <c r="K1287"/>
    </row>
    <row r="1288" spans="11:11" x14ac:dyDescent="0.25">
      <c r="K1288"/>
    </row>
    <row r="1289" spans="11:11" x14ac:dyDescent="0.25">
      <c r="K1289"/>
    </row>
    <row r="1290" spans="11:11" x14ac:dyDescent="0.25">
      <c r="K1290"/>
    </row>
    <row r="1291" spans="11:11" x14ac:dyDescent="0.25">
      <c r="K1291"/>
    </row>
    <row r="1292" spans="11:11" x14ac:dyDescent="0.25">
      <c r="K1292"/>
    </row>
    <row r="1293" spans="11:11" x14ac:dyDescent="0.25">
      <c r="K1293"/>
    </row>
    <row r="1294" spans="11:11" x14ac:dyDescent="0.25">
      <c r="K1294"/>
    </row>
    <row r="1295" spans="11:11" x14ac:dyDescent="0.25">
      <c r="K1295"/>
    </row>
    <row r="1296" spans="11:11" x14ac:dyDescent="0.25">
      <c r="K1296"/>
    </row>
    <row r="1297" spans="11:11" x14ac:dyDescent="0.25">
      <c r="K1297"/>
    </row>
    <row r="1298" spans="11:11" x14ac:dyDescent="0.25">
      <c r="K1298"/>
    </row>
    <row r="1299" spans="11:11" x14ac:dyDescent="0.25">
      <c r="K1299"/>
    </row>
    <row r="1300" spans="11:11" x14ac:dyDescent="0.25">
      <c r="K1300"/>
    </row>
    <row r="1301" spans="11:11" x14ac:dyDescent="0.25">
      <c r="K1301"/>
    </row>
    <row r="1302" spans="11:11" x14ac:dyDescent="0.25">
      <c r="K1302"/>
    </row>
    <row r="1303" spans="11:11" x14ac:dyDescent="0.25">
      <c r="K1303"/>
    </row>
    <row r="1304" spans="11:11" x14ac:dyDescent="0.25">
      <c r="K1304"/>
    </row>
    <row r="1305" spans="11:11" x14ac:dyDescent="0.25">
      <c r="K1305"/>
    </row>
    <row r="1306" spans="11:11" x14ac:dyDescent="0.25">
      <c r="K1306"/>
    </row>
    <row r="1307" spans="11:11" x14ac:dyDescent="0.25">
      <c r="K1307"/>
    </row>
    <row r="1308" spans="11:11" x14ac:dyDescent="0.25">
      <c r="K1308"/>
    </row>
    <row r="1309" spans="11:11" x14ac:dyDescent="0.25">
      <c r="K1309"/>
    </row>
    <row r="1310" spans="11:11" x14ac:dyDescent="0.25">
      <c r="K1310"/>
    </row>
    <row r="1311" spans="11:11" x14ac:dyDescent="0.25">
      <c r="K1311"/>
    </row>
    <row r="1312" spans="11:11" x14ac:dyDescent="0.25">
      <c r="K1312"/>
    </row>
    <row r="1313" spans="11:11" x14ac:dyDescent="0.25">
      <c r="K1313"/>
    </row>
    <row r="1314" spans="11:11" x14ac:dyDescent="0.25">
      <c r="K1314"/>
    </row>
    <row r="1315" spans="11:11" x14ac:dyDescent="0.25">
      <c r="K1315"/>
    </row>
    <row r="1316" spans="11:11" x14ac:dyDescent="0.25">
      <c r="K1316"/>
    </row>
    <row r="1317" spans="11:11" x14ac:dyDescent="0.25">
      <c r="K1317"/>
    </row>
    <row r="1318" spans="11:11" x14ac:dyDescent="0.25">
      <c r="K1318"/>
    </row>
    <row r="1319" spans="11:11" x14ac:dyDescent="0.25">
      <c r="K1319"/>
    </row>
    <row r="1320" spans="11:11" x14ac:dyDescent="0.25">
      <c r="K1320"/>
    </row>
    <row r="1321" spans="11:11" x14ac:dyDescent="0.25">
      <c r="K1321"/>
    </row>
    <row r="1322" spans="11:11" x14ac:dyDescent="0.25">
      <c r="K1322"/>
    </row>
    <row r="1323" spans="11:11" x14ac:dyDescent="0.25">
      <c r="K1323"/>
    </row>
    <row r="1324" spans="11:11" x14ac:dyDescent="0.25">
      <c r="K1324"/>
    </row>
    <row r="1325" spans="11:11" x14ac:dyDescent="0.25">
      <c r="K1325"/>
    </row>
    <row r="1326" spans="11:11" x14ac:dyDescent="0.25">
      <c r="K1326"/>
    </row>
    <row r="1327" spans="11:11" x14ac:dyDescent="0.25">
      <c r="K1327"/>
    </row>
    <row r="1328" spans="11:11" x14ac:dyDescent="0.25">
      <c r="K1328"/>
    </row>
    <row r="1329" spans="11:11" x14ac:dyDescent="0.25">
      <c r="K1329"/>
    </row>
    <row r="1330" spans="11:11" x14ac:dyDescent="0.25">
      <c r="K1330"/>
    </row>
    <row r="1331" spans="11:11" x14ac:dyDescent="0.25">
      <c r="K1331"/>
    </row>
    <row r="1332" spans="11:11" x14ac:dyDescent="0.25">
      <c r="K1332"/>
    </row>
    <row r="1333" spans="11:11" x14ac:dyDescent="0.25">
      <c r="K1333"/>
    </row>
    <row r="1334" spans="11:11" x14ac:dyDescent="0.25">
      <c r="K1334"/>
    </row>
    <row r="1335" spans="11:11" x14ac:dyDescent="0.25">
      <c r="K1335"/>
    </row>
    <row r="1336" spans="11:11" x14ac:dyDescent="0.25">
      <c r="K1336"/>
    </row>
    <row r="1337" spans="11:11" x14ac:dyDescent="0.25">
      <c r="K1337"/>
    </row>
    <row r="1338" spans="11:11" x14ac:dyDescent="0.25">
      <c r="K1338"/>
    </row>
    <row r="1339" spans="11:11" x14ac:dyDescent="0.25">
      <c r="K1339"/>
    </row>
    <row r="1340" spans="11:11" x14ac:dyDescent="0.25">
      <c r="K1340"/>
    </row>
    <row r="1341" spans="11:11" x14ac:dyDescent="0.25">
      <c r="K1341"/>
    </row>
    <row r="1342" spans="11:11" x14ac:dyDescent="0.25">
      <c r="K1342"/>
    </row>
    <row r="1343" spans="11:11" x14ac:dyDescent="0.25">
      <c r="K1343"/>
    </row>
    <row r="1344" spans="11:11" x14ac:dyDescent="0.25">
      <c r="K1344"/>
    </row>
    <row r="1345" spans="11:11" x14ac:dyDescent="0.25">
      <c r="K1345"/>
    </row>
    <row r="1346" spans="11:11" x14ac:dyDescent="0.25">
      <c r="K1346"/>
    </row>
    <row r="1347" spans="11:11" x14ac:dyDescent="0.25">
      <c r="K1347"/>
    </row>
    <row r="1348" spans="11:11" x14ac:dyDescent="0.25">
      <c r="K1348"/>
    </row>
    <row r="1349" spans="11:11" x14ac:dyDescent="0.25">
      <c r="K1349"/>
    </row>
    <row r="1350" spans="11:11" x14ac:dyDescent="0.25">
      <c r="K1350"/>
    </row>
    <row r="1351" spans="11:11" x14ac:dyDescent="0.25">
      <c r="K1351"/>
    </row>
    <row r="1352" spans="11:11" x14ac:dyDescent="0.25">
      <c r="K1352"/>
    </row>
    <row r="1353" spans="11:11" x14ac:dyDescent="0.25">
      <c r="K1353"/>
    </row>
    <row r="1354" spans="11:11" x14ac:dyDescent="0.25">
      <c r="K1354"/>
    </row>
    <row r="1355" spans="11:11" x14ac:dyDescent="0.25">
      <c r="K1355"/>
    </row>
    <row r="1356" spans="11:11" x14ac:dyDescent="0.25">
      <c r="K1356"/>
    </row>
    <row r="1357" spans="11:11" x14ac:dyDescent="0.25">
      <c r="K1357"/>
    </row>
    <row r="1358" spans="11:11" x14ac:dyDescent="0.25">
      <c r="K1358"/>
    </row>
    <row r="1359" spans="11:11" x14ac:dyDescent="0.25">
      <c r="K1359"/>
    </row>
    <row r="1360" spans="11:11" x14ac:dyDescent="0.25">
      <c r="K1360"/>
    </row>
    <row r="1361" spans="11:11" x14ac:dyDescent="0.25">
      <c r="K1361"/>
    </row>
    <row r="1362" spans="11:11" x14ac:dyDescent="0.25">
      <c r="K1362"/>
    </row>
    <row r="1363" spans="11:11" x14ac:dyDescent="0.25">
      <c r="K1363"/>
    </row>
    <row r="1364" spans="11:11" x14ac:dyDescent="0.25">
      <c r="K1364"/>
    </row>
    <row r="1365" spans="11:11" x14ac:dyDescent="0.25">
      <c r="K1365"/>
    </row>
    <row r="1366" spans="11:11" x14ac:dyDescent="0.25">
      <c r="K1366"/>
    </row>
    <row r="1367" spans="11:11" x14ac:dyDescent="0.25">
      <c r="K1367"/>
    </row>
    <row r="1368" spans="11:11" x14ac:dyDescent="0.25">
      <c r="K1368"/>
    </row>
    <row r="1369" spans="11:11" x14ac:dyDescent="0.25">
      <c r="K1369"/>
    </row>
    <row r="1370" spans="11:11" x14ac:dyDescent="0.25">
      <c r="K1370"/>
    </row>
    <row r="1371" spans="11:11" x14ac:dyDescent="0.25">
      <c r="K1371"/>
    </row>
    <row r="1372" spans="11:11" x14ac:dyDescent="0.25">
      <c r="K1372"/>
    </row>
    <row r="1373" spans="11:11" x14ac:dyDescent="0.25">
      <c r="K1373"/>
    </row>
    <row r="1374" spans="11:11" x14ac:dyDescent="0.25">
      <c r="K1374"/>
    </row>
    <row r="1375" spans="11:11" x14ac:dyDescent="0.25">
      <c r="K1375"/>
    </row>
    <row r="1376" spans="11:11" x14ac:dyDescent="0.25">
      <c r="K1376"/>
    </row>
    <row r="1377" spans="11:11" x14ac:dyDescent="0.25">
      <c r="K1377"/>
    </row>
    <row r="1378" spans="11:11" x14ac:dyDescent="0.25">
      <c r="K1378"/>
    </row>
    <row r="1379" spans="11:11" x14ac:dyDescent="0.25">
      <c r="K1379"/>
    </row>
    <row r="1380" spans="11:11" x14ac:dyDescent="0.25">
      <c r="K1380"/>
    </row>
    <row r="1381" spans="11:11" x14ac:dyDescent="0.25">
      <c r="K1381"/>
    </row>
    <row r="1382" spans="11:11" x14ac:dyDescent="0.25">
      <c r="K1382"/>
    </row>
    <row r="1383" spans="11:11" x14ac:dyDescent="0.25">
      <c r="K1383"/>
    </row>
    <row r="1384" spans="11:11" x14ac:dyDescent="0.25">
      <c r="K1384"/>
    </row>
    <row r="1385" spans="11:11" x14ac:dyDescent="0.25">
      <c r="K1385"/>
    </row>
    <row r="1386" spans="11:11" x14ac:dyDescent="0.25">
      <c r="K1386"/>
    </row>
    <row r="1387" spans="11:11" x14ac:dyDescent="0.25">
      <c r="K1387"/>
    </row>
    <row r="1388" spans="11:11" x14ac:dyDescent="0.25">
      <c r="K1388"/>
    </row>
    <row r="1389" spans="11:11" x14ac:dyDescent="0.25">
      <c r="K1389"/>
    </row>
    <row r="1390" spans="11:11" x14ac:dyDescent="0.25">
      <c r="K1390"/>
    </row>
    <row r="1391" spans="11:11" x14ac:dyDescent="0.25">
      <c r="K1391"/>
    </row>
    <row r="1392" spans="11:11" x14ac:dyDescent="0.25">
      <c r="K1392"/>
    </row>
    <row r="1393" spans="11:11" x14ac:dyDescent="0.25">
      <c r="K1393"/>
    </row>
    <row r="1394" spans="11:11" x14ac:dyDescent="0.25">
      <c r="K1394"/>
    </row>
    <row r="1395" spans="11:11" x14ac:dyDescent="0.25">
      <c r="K1395"/>
    </row>
    <row r="1396" spans="11:11" x14ac:dyDescent="0.25">
      <c r="K1396"/>
    </row>
    <row r="1397" spans="11:11" x14ac:dyDescent="0.25">
      <c r="K1397"/>
    </row>
    <row r="1398" spans="11:11" x14ac:dyDescent="0.25">
      <c r="K1398"/>
    </row>
    <row r="1399" spans="11:11" x14ac:dyDescent="0.25">
      <c r="K1399"/>
    </row>
    <row r="1400" spans="11:11" x14ac:dyDescent="0.25">
      <c r="K1400"/>
    </row>
    <row r="1401" spans="11:11" x14ac:dyDescent="0.25">
      <c r="K1401"/>
    </row>
    <row r="1402" spans="11:11" x14ac:dyDescent="0.25">
      <c r="K1402"/>
    </row>
    <row r="1403" spans="11:11" x14ac:dyDescent="0.25">
      <c r="K1403"/>
    </row>
    <row r="1404" spans="11:11" x14ac:dyDescent="0.25">
      <c r="K1404"/>
    </row>
    <row r="1405" spans="11:11" x14ac:dyDescent="0.25">
      <c r="K1405"/>
    </row>
    <row r="1406" spans="11:11" x14ac:dyDescent="0.25">
      <c r="K1406"/>
    </row>
    <row r="1407" spans="11:11" x14ac:dyDescent="0.25">
      <c r="K1407"/>
    </row>
    <row r="1408" spans="11:11" x14ac:dyDescent="0.25">
      <c r="K1408"/>
    </row>
    <row r="1409" spans="11:11" x14ac:dyDescent="0.25">
      <c r="K1409"/>
    </row>
    <row r="1410" spans="11:11" x14ac:dyDescent="0.25">
      <c r="K1410"/>
    </row>
    <row r="1411" spans="11:11" x14ac:dyDescent="0.25">
      <c r="K1411"/>
    </row>
    <row r="1412" spans="11:11" x14ac:dyDescent="0.25">
      <c r="K1412"/>
    </row>
    <row r="1413" spans="11:11" x14ac:dyDescent="0.25">
      <c r="K1413"/>
    </row>
    <row r="1414" spans="11:11" x14ac:dyDescent="0.25">
      <c r="K1414"/>
    </row>
    <row r="1415" spans="11:11" x14ac:dyDescent="0.25">
      <c r="K1415"/>
    </row>
    <row r="1416" spans="11:11" x14ac:dyDescent="0.25">
      <c r="K1416"/>
    </row>
    <row r="1417" spans="11:11" x14ac:dyDescent="0.25">
      <c r="K1417"/>
    </row>
    <row r="1418" spans="11:11" x14ac:dyDescent="0.25">
      <c r="K1418"/>
    </row>
    <row r="1419" spans="11:11" x14ac:dyDescent="0.25">
      <c r="K1419"/>
    </row>
    <row r="1420" spans="11:11" x14ac:dyDescent="0.25">
      <c r="K1420"/>
    </row>
    <row r="1421" spans="11:11" x14ac:dyDescent="0.25">
      <c r="K1421"/>
    </row>
    <row r="1422" spans="11:11" x14ac:dyDescent="0.25">
      <c r="K1422"/>
    </row>
    <row r="1423" spans="11:11" x14ac:dyDescent="0.25">
      <c r="K1423"/>
    </row>
    <row r="1424" spans="11:11" x14ac:dyDescent="0.25">
      <c r="K1424"/>
    </row>
    <row r="1425" spans="11:11" x14ac:dyDescent="0.25">
      <c r="K1425"/>
    </row>
    <row r="1426" spans="11:11" x14ac:dyDescent="0.25">
      <c r="K1426"/>
    </row>
    <row r="1427" spans="11:11" x14ac:dyDescent="0.25">
      <c r="K1427"/>
    </row>
    <row r="1428" spans="11:11" x14ac:dyDescent="0.25">
      <c r="K1428"/>
    </row>
    <row r="1429" spans="11:11" x14ac:dyDescent="0.25">
      <c r="K1429"/>
    </row>
    <row r="1430" spans="11:11" x14ac:dyDescent="0.25">
      <c r="K1430"/>
    </row>
    <row r="1431" spans="11:11" x14ac:dyDescent="0.25">
      <c r="K1431"/>
    </row>
    <row r="1432" spans="11:11" x14ac:dyDescent="0.25">
      <c r="K1432"/>
    </row>
    <row r="1433" spans="11:11" x14ac:dyDescent="0.25">
      <c r="K1433"/>
    </row>
    <row r="1434" spans="11:11" x14ac:dyDescent="0.25">
      <c r="K1434"/>
    </row>
    <row r="1435" spans="11:11" x14ac:dyDescent="0.25">
      <c r="K1435"/>
    </row>
    <row r="1436" spans="11:11" x14ac:dyDescent="0.25">
      <c r="K1436"/>
    </row>
    <row r="1437" spans="11:11" x14ac:dyDescent="0.25">
      <c r="K1437"/>
    </row>
    <row r="1438" spans="11:11" x14ac:dyDescent="0.25">
      <c r="K1438"/>
    </row>
    <row r="1439" spans="11:11" x14ac:dyDescent="0.25">
      <c r="K1439"/>
    </row>
    <row r="1440" spans="11:11" x14ac:dyDescent="0.25">
      <c r="K1440"/>
    </row>
    <row r="1441" spans="11:11" x14ac:dyDescent="0.25">
      <c r="K1441"/>
    </row>
    <row r="1442" spans="11:11" x14ac:dyDescent="0.25">
      <c r="K1442"/>
    </row>
    <row r="1443" spans="11:11" x14ac:dyDescent="0.25">
      <c r="K1443"/>
    </row>
    <row r="1444" spans="11:11" x14ac:dyDescent="0.25">
      <c r="K1444"/>
    </row>
    <row r="1445" spans="11:11" x14ac:dyDescent="0.25">
      <c r="K1445"/>
    </row>
    <row r="1446" spans="11:11" x14ac:dyDescent="0.25">
      <c r="K1446"/>
    </row>
    <row r="1447" spans="11:11" x14ac:dyDescent="0.25">
      <c r="K1447"/>
    </row>
    <row r="1448" spans="11:11" x14ac:dyDescent="0.25">
      <c r="K1448"/>
    </row>
    <row r="1449" spans="11:11" x14ac:dyDescent="0.25">
      <c r="K1449"/>
    </row>
    <row r="1450" spans="11:11" x14ac:dyDescent="0.25">
      <c r="K1450"/>
    </row>
    <row r="1451" spans="11:11" x14ac:dyDescent="0.25">
      <c r="K1451"/>
    </row>
    <row r="1452" spans="11:11" x14ac:dyDescent="0.25">
      <c r="K1452"/>
    </row>
    <row r="1453" spans="11:11" x14ac:dyDescent="0.25">
      <c r="K1453"/>
    </row>
    <row r="1454" spans="11:11" x14ac:dyDescent="0.25">
      <c r="K1454"/>
    </row>
    <row r="1455" spans="11:11" x14ac:dyDescent="0.25">
      <c r="K1455"/>
    </row>
    <row r="1456" spans="11:11" x14ac:dyDescent="0.25">
      <c r="K1456"/>
    </row>
    <row r="1457" spans="11:11" x14ac:dyDescent="0.25">
      <c r="K1457"/>
    </row>
    <row r="1458" spans="11:11" x14ac:dyDescent="0.25">
      <c r="K1458"/>
    </row>
    <row r="1459" spans="11:11" x14ac:dyDescent="0.25">
      <c r="K1459"/>
    </row>
    <row r="1460" spans="11:11" x14ac:dyDescent="0.25">
      <c r="K1460"/>
    </row>
    <row r="1461" spans="11:11" x14ac:dyDescent="0.25">
      <c r="K1461"/>
    </row>
    <row r="1462" spans="11:11" x14ac:dyDescent="0.25">
      <c r="K1462"/>
    </row>
    <row r="1463" spans="11:11" x14ac:dyDescent="0.25">
      <c r="K1463"/>
    </row>
    <row r="1464" spans="11:11" x14ac:dyDescent="0.25">
      <c r="K1464"/>
    </row>
    <row r="1465" spans="11:11" x14ac:dyDescent="0.25">
      <c r="K1465"/>
    </row>
    <row r="1466" spans="11:11" x14ac:dyDescent="0.25">
      <c r="K1466"/>
    </row>
    <row r="1467" spans="11:11" x14ac:dyDescent="0.25">
      <c r="K1467"/>
    </row>
    <row r="1468" spans="11:11" x14ac:dyDescent="0.25">
      <c r="K1468"/>
    </row>
    <row r="1469" spans="11:11" x14ac:dyDescent="0.25">
      <c r="K1469"/>
    </row>
    <row r="1470" spans="11:11" x14ac:dyDescent="0.25">
      <c r="K1470"/>
    </row>
    <row r="1471" spans="11:11" x14ac:dyDescent="0.25">
      <c r="K1471"/>
    </row>
    <row r="1472" spans="11:11" x14ac:dyDescent="0.25">
      <c r="K1472"/>
    </row>
    <row r="1473" spans="11:11" x14ac:dyDescent="0.25">
      <c r="K1473"/>
    </row>
    <row r="1474" spans="11:11" x14ac:dyDescent="0.25">
      <c r="K1474"/>
    </row>
    <row r="1475" spans="11:11" x14ac:dyDescent="0.25">
      <c r="K1475"/>
    </row>
    <row r="1476" spans="11:11" x14ac:dyDescent="0.25">
      <c r="K1476"/>
    </row>
    <row r="1477" spans="11:11" x14ac:dyDescent="0.25">
      <c r="K1477"/>
    </row>
    <row r="1478" spans="11:11" x14ac:dyDescent="0.25">
      <c r="K1478"/>
    </row>
    <row r="1479" spans="11:11" x14ac:dyDescent="0.25">
      <c r="K1479"/>
    </row>
    <row r="1480" spans="11:11" x14ac:dyDescent="0.25">
      <c r="K1480"/>
    </row>
    <row r="1481" spans="11:11" x14ac:dyDescent="0.25">
      <c r="K1481"/>
    </row>
    <row r="1482" spans="11:11" x14ac:dyDescent="0.25">
      <c r="K1482"/>
    </row>
    <row r="1483" spans="11:11" x14ac:dyDescent="0.25">
      <c r="K1483"/>
    </row>
    <row r="1484" spans="11:11" x14ac:dyDescent="0.25">
      <c r="K1484"/>
    </row>
    <row r="1485" spans="11:11" x14ac:dyDescent="0.25">
      <c r="K1485"/>
    </row>
    <row r="1486" spans="11:11" x14ac:dyDescent="0.25">
      <c r="K1486"/>
    </row>
    <row r="1487" spans="11:11" x14ac:dyDescent="0.25">
      <c r="K1487"/>
    </row>
    <row r="1488" spans="11:11" x14ac:dyDescent="0.25">
      <c r="K1488"/>
    </row>
    <row r="1489" spans="11:11" x14ac:dyDescent="0.25">
      <c r="K1489"/>
    </row>
    <row r="1490" spans="11:11" x14ac:dyDescent="0.25">
      <c r="K1490"/>
    </row>
    <row r="1491" spans="11:11" x14ac:dyDescent="0.25">
      <c r="K1491"/>
    </row>
    <row r="1492" spans="11:11" x14ac:dyDescent="0.25">
      <c r="K1492"/>
    </row>
    <row r="1493" spans="11:11" x14ac:dyDescent="0.25">
      <c r="K1493"/>
    </row>
    <row r="1494" spans="11:11" x14ac:dyDescent="0.25">
      <c r="K1494"/>
    </row>
    <row r="1495" spans="11:11" x14ac:dyDescent="0.25">
      <c r="K1495"/>
    </row>
    <row r="1496" spans="11:11" x14ac:dyDescent="0.25">
      <c r="K1496"/>
    </row>
    <row r="1497" spans="11:11" x14ac:dyDescent="0.25">
      <c r="K1497"/>
    </row>
    <row r="1498" spans="11:11" x14ac:dyDescent="0.25">
      <c r="K1498"/>
    </row>
    <row r="1499" spans="11:11" x14ac:dyDescent="0.25">
      <c r="K1499"/>
    </row>
    <row r="1500" spans="11:11" x14ac:dyDescent="0.25">
      <c r="K1500"/>
    </row>
    <row r="1501" spans="11:11" x14ac:dyDescent="0.25">
      <c r="K1501"/>
    </row>
    <row r="1502" spans="11:11" x14ac:dyDescent="0.25">
      <c r="K1502"/>
    </row>
    <row r="1503" spans="11:11" x14ac:dyDescent="0.25">
      <c r="K1503"/>
    </row>
    <row r="1504" spans="11:11" x14ac:dyDescent="0.25">
      <c r="K1504"/>
    </row>
    <row r="1505" spans="11:11" x14ac:dyDescent="0.25">
      <c r="K1505"/>
    </row>
    <row r="1506" spans="11:11" x14ac:dyDescent="0.25">
      <c r="K1506"/>
    </row>
    <row r="1507" spans="11:11" x14ac:dyDescent="0.25">
      <c r="K1507"/>
    </row>
    <row r="1508" spans="11:11" x14ac:dyDescent="0.25">
      <c r="K1508"/>
    </row>
    <row r="1509" spans="11:11" x14ac:dyDescent="0.25">
      <c r="K1509"/>
    </row>
    <row r="1510" spans="11:11" x14ac:dyDescent="0.25">
      <c r="K1510"/>
    </row>
    <row r="1511" spans="11:11" x14ac:dyDescent="0.25">
      <c r="K1511"/>
    </row>
    <row r="1512" spans="11:11" x14ac:dyDescent="0.25">
      <c r="K1512"/>
    </row>
    <row r="1513" spans="11:11" x14ac:dyDescent="0.25">
      <c r="K1513"/>
    </row>
    <row r="1514" spans="11:11" x14ac:dyDescent="0.25">
      <c r="K1514"/>
    </row>
    <row r="1515" spans="11:11" x14ac:dyDescent="0.25">
      <c r="K1515"/>
    </row>
    <row r="1516" spans="11:11" x14ac:dyDescent="0.25">
      <c r="K1516"/>
    </row>
    <row r="1517" spans="11:11" x14ac:dyDescent="0.25">
      <c r="K1517"/>
    </row>
    <row r="1518" spans="11:11" x14ac:dyDescent="0.25">
      <c r="K1518"/>
    </row>
    <row r="1519" spans="11:11" x14ac:dyDescent="0.25">
      <c r="K1519"/>
    </row>
    <row r="1520" spans="11:11" x14ac:dyDescent="0.25">
      <c r="K1520"/>
    </row>
    <row r="1521" spans="11:11" x14ac:dyDescent="0.25">
      <c r="K1521"/>
    </row>
    <row r="1522" spans="11:11" x14ac:dyDescent="0.25">
      <c r="K1522"/>
    </row>
    <row r="1523" spans="11:11" x14ac:dyDescent="0.25">
      <c r="K1523"/>
    </row>
    <row r="1524" spans="11:11" x14ac:dyDescent="0.25">
      <c r="K1524"/>
    </row>
    <row r="1525" spans="11:11" x14ac:dyDescent="0.25">
      <c r="K1525"/>
    </row>
    <row r="1526" spans="11:11" x14ac:dyDescent="0.25">
      <c r="K1526"/>
    </row>
    <row r="1527" spans="11:11" x14ac:dyDescent="0.25">
      <c r="K1527"/>
    </row>
    <row r="1528" spans="11:11" x14ac:dyDescent="0.25">
      <c r="K1528"/>
    </row>
    <row r="1529" spans="11:11" x14ac:dyDescent="0.25">
      <c r="K1529"/>
    </row>
    <row r="1530" spans="11:11" x14ac:dyDescent="0.25">
      <c r="K1530"/>
    </row>
    <row r="1531" spans="11:11" x14ac:dyDescent="0.25">
      <c r="K1531"/>
    </row>
    <row r="1532" spans="11:11" x14ac:dyDescent="0.25">
      <c r="K1532"/>
    </row>
    <row r="1533" spans="11:11" x14ac:dyDescent="0.25">
      <c r="K1533"/>
    </row>
    <row r="1534" spans="11:11" x14ac:dyDescent="0.25">
      <c r="K1534"/>
    </row>
    <row r="1535" spans="11:11" x14ac:dyDescent="0.25">
      <c r="K1535"/>
    </row>
    <row r="1536" spans="11:11" x14ac:dyDescent="0.25">
      <c r="K1536"/>
    </row>
    <row r="1537" spans="11:11" x14ac:dyDescent="0.25">
      <c r="K1537"/>
    </row>
    <row r="1538" spans="11:11" x14ac:dyDescent="0.25">
      <c r="K1538"/>
    </row>
    <row r="1539" spans="11:11" x14ac:dyDescent="0.25">
      <c r="K1539"/>
    </row>
    <row r="1540" spans="11:11" x14ac:dyDescent="0.25">
      <c r="K1540"/>
    </row>
    <row r="1541" spans="11:11" x14ac:dyDescent="0.25">
      <c r="K1541"/>
    </row>
    <row r="1542" spans="11:11" x14ac:dyDescent="0.25">
      <c r="K1542"/>
    </row>
    <row r="1543" spans="11:11" x14ac:dyDescent="0.25">
      <c r="K1543"/>
    </row>
    <row r="1544" spans="11:11" x14ac:dyDescent="0.25">
      <c r="K1544"/>
    </row>
    <row r="1545" spans="11:11" x14ac:dyDescent="0.25">
      <c r="K1545"/>
    </row>
    <row r="1546" spans="11:11" x14ac:dyDescent="0.25">
      <c r="K1546"/>
    </row>
    <row r="1547" spans="11:11" x14ac:dyDescent="0.25">
      <c r="K1547"/>
    </row>
    <row r="1548" spans="11:11" x14ac:dyDescent="0.25">
      <c r="K1548"/>
    </row>
    <row r="1549" spans="11:11" x14ac:dyDescent="0.25">
      <c r="K1549"/>
    </row>
    <row r="1550" spans="11:11" x14ac:dyDescent="0.25">
      <c r="K1550"/>
    </row>
    <row r="1551" spans="11:11" x14ac:dyDescent="0.25">
      <c r="K1551"/>
    </row>
    <row r="1552" spans="11:11" x14ac:dyDescent="0.25">
      <c r="K1552"/>
    </row>
    <row r="1553" spans="11:11" x14ac:dyDescent="0.25">
      <c r="K1553"/>
    </row>
    <row r="1554" spans="11:11" x14ac:dyDescent="0.25">
      <c r="K1554"/>
    </row>
    <row r="1555" spans="11:11" x14ac:dyDescent="0.25">
      <c r="K1555"/>
    </row>
    <row r="1556" spans="11:11" x14ac:dyDescent="0.25">
      <c r="K1556"/>
    </row>
    <row r="1557" spans="11:11" x14ac:dyDescent="0.25">
      <c r="K1557"/>
    </row>
    <row r="1558" spans="11:11" x14ac:dyDescent="0.25">
      <c r="K1558"/>
    </row>
    <row r="1559" spans="11:11" x14ac:dyDescent="0.25">
      <c r="K1559"/>
    </row>
    <row r="1560" spans="11:11" x14ac:dyDescent="0.25">
      <c r="K1560"/>
    </row>
    <row r="1561" spans="11:11" x14ac:dyDescent="0.25">
      <c r="K1561"/>
    </row>
    <row r="1562" spans="11:11" x14ac:dyDescent="0.25">
      <c r="K1562"/>
    </row>
    <row r="1563" spans="11:11" x14ac:dyDescent="0.25">
      <c r="K1563"/>
    </row>
    <row r="1564" spans="11:11" x14ac:dyDescent="0.25">
      <c r="K1564"/>
    </row>
    <row r="1565" spans="11:11" x14ac:dyDescent="0.25">
      <c r="K1565"/>
    </row>
    <row r="1566" spans="11:11" x14ac:dyDescent="0.25">
      <c r="K1566"/>
    </row>
    <row r="1567" spans="11:11" x14ac:dyDescent="0.25">
      <c r="K1567"/>
    </row>
    <row r="1568" spans="11:11" x14ac:dyDescent="0.25">
      <c r="K1568"/>
    </row>
    <row r="1569" spans="11:11" x14ac:dyDescent="0.25">
      <c r="K1569"/>
    </row>
    <row r="1570" spans="11:11" x14ac:dyDescent="0.25">
      <c r="K1570"/>
    </row>
    <row r="1571" spans="11:11" x14ac:dyDescent="0.25">
      <c r="K1571"/>
    </row>
    <row r="1572" spans="11:11" x14ac:dyDescent="0.25">
      <c r="K1572"/>
    </row>
    <row r="1573" spans="11:11" x14ac:dyDescent="0.25">
      <c r="K1573"/>
    </row>
    <row r="1574" spans="11:11" x14ac:dyDescent="0.25">
      <c r="K1574"/>
    </row>
    <row r="1575" spans="11:11" x14ac:dyDescent="0.25">
      <c r="K1575"/>
    </row>
    <row r="1576" spans="11:11" x14ac:dyDescent="0.25">
      <c r="K1576"/>
    </row>
    <row r="1577" spans="11:11" x14ac:dyDescent="0.25">
      <c r="K1577"/>
    </row>
    <row r="1578" spans="11:11" x14ac:dyDescent="0.25">
      <c r="K1578"/>
    </row>
    <row r="1579" spans="11:11" x14ac:dyDescent="0.25">
      <c r="K1579"/>
    </row>
    <row r="1580" spans="11:11" x14ac:dyDescent="0.25">
      <c r="K1580"/>
    </row>
    <row r="1581" spans="11:11" x14ac:dyDescent="0.25">
      <c r="K1581"/>
    </row>
    <row r="1582" spans="11:11" x14ac:dyDescent="0.25">
      <c r="K1582"/>
    </row>
    <row r="1583" spans="11:11" x14ac:dyDescent="0.25">
      <c r="K1583"/>
    </row>
    <row r="1584" spans="11:11" x14ac:dyDescent="0.25">
      <c r="K1584"/>
    </row>
    <row r="1585" spans="11:11" x14ac:dyDescent="0.25">
      <c r="K1585"/>
    </row>
    <row r="1586" spans="11:11" x14ac:dyDescent="0.25">
      <c r="K1586"/>
    </row>
    <row r="1587" spans="11:11" x14ac:dyDescent="0.25">
      <c r="K1587"/>
    </row>
    <row r="1588" spans="11:11" x14ac:dyDescent="0.25">
      <c r="K1588"/>
    </row>
    <row r="1589" spans="11:11" x14ac:dyDescent="0.25">
      <c r="K1589"/>
    </row>
    <row r="1590" spans="11:11" x14ac:dyDescent="0.25">
      <c r="K1590"/>
    </row>
    <row r="1591" spans="11:11" x14ac:dyDescent="0.25">
      <c r="K1591"/>
    </row>
    <row r="1592" spans="11:11" x14ac:dyDescent="0.25">
      <c r="K1592"/>
    </row>
    <row r="1593" spans="11:11" x14ac:dyDescent="0.25">
      <c r="K1593"/>
    </row>
    <row r="1594" spans="11:11" x14ac:dyDescent="0.25">
      <c r="K1594"/>
    </row>
    <row r="1595" spans="11:11" x14ac:dyDescent="0.25">
      <c r="K1595"/>
    </row>
    <row r="1596" spans="11:11" x14ac:dyDescent="0.25">
      <c r="K1596"/>
    </row>
    <row r="1597" spans="11:11" x14ac:dyDescent="0.25">
      <c r="K1597"/>
    </row>
    <row r="1598" spans="11:11" x14ac:dyDescent="0.25">
      <c r="K1598"/>
    </row>
    <row r="1599" spans="11:11" x14ac:dyDescent="0.25">
      <c r="K1599"/>
    </row>
    <row r="1600" spans="11:11" x14ac:dyDescent="0.25">
      <c r="K1600"/>
    </row>
    <row r="1601" spans="11:11" x14ac:dyDescent="0.25">
      <c r="K1601"/>
    </row>
    <row r="1602" spans="11:11" x14ac:dyDescent="0.25">
      <c r="K1602"/>
    </row>
    <row r="1603" spans="11:11" x14ac:dyDescent="0.25">
      <c r="K1603"/>
    </row>
    <row r="1604" spans="11:11" x14ac:dyDescent="0.25">
      <c r="K1604"/>
    </row>
    <row r="1605" spans="11:11" x14ac:dyDescent="0.25">
      <c r="K1605"/>
    </row>
    <row r="1606" spans="11:11" x14ac:dyDescent="0.25">
      <c r="K1606"/>
    </row>
    <row r="1607" spans="11:11" x14ac:dyDescent="0.25">
      <c r="K1607"/>
    </row>
    <row r="1608" spans="11:11" x14ac:dyDescent="0.25">
      <c r="K1608"/>
    </row>
    <row r="1609" spans="11:11" x14ac:dyDescent="0.25">
      <c r="K1609"/>
    </row>
    <row r="1610" spans="11:11" x14ac:dyDescent="0.25">
      <c r="K1610"/>
    </row>
    <row r="1611" spans="11:11" x14ac:dyDescent="0.25">
      <c r="K1611"/>
    </row>
    <row r="1612" spans="11:11" x14ac:dyDescent="0.25">
      <c r="K1612"/>
    </row>
    <row r="1613" spans="11:11" x14ac:dyDescent="0.25">
      <c r="K1613"/>
    </row>
    <row r="1614" spans="11:11" x14ac:dyDescent="0.25">
      <c r="K1614"/>
    </row>
    <row r="1615" spans="11:11" x14ac:dyDescent="0.25">
      <c r="K1615"/>
    </row>
    <row r="1616" spans="11:11" x14ac:dyDescent="0.25">
      <c r="K1616"/>
    </row>
    <row r="1617" spans="11:11" x14ac:dyDescent="0.25">
      <c r="K1617"/>
    </row>
    <row r="1618" spans="11:11" x14ac:dyDescent="0.25">
      <c r="K1618"/>
    </row>
    <row r="1619" spans="11:11" x14ac:dyDescent="0.25">
      <c r="K1619"/>
    </row>
    <row r="1620" spans="11:11" x14ac:dyDescent="0.25">
      <c r="K1620"/>
    </row>
    <row r="1621" spans="11:11" x14ac:dyDescent="0.25">
      <c r="K1621"/>
    </row>
    <row r="1622" spans="11:11" x14ac:dyDescent="0.25">
      <c r="K1622"/>
    </row>
    <row r="1623" spans="11:11" x14ac:dyDescent="0.25">
      <c r="K1623"/>
    </row>
    <row r="1624" spans="11:11" x14ac:dyDescent="0.25">
      <c r="K1624"/>
    </row>
    <row r="1625" spans="11:11" x14ac:dyDescent="0.25">
      <c r="K1625"/>
    </row>
    <row r="1626" spans="11:11" x14ac:dyDescent="0.25">
      <c r="K1626"/>
    </row>
    <row r="1627" spans="11:11" x14ac:dyDescent="0.25">
      <c r="K1627"/>
    </row>
    <row r="1628" spans="11:11" x14ac:dyDescent="0.25">
      <c r="K1628"/>
    </row>
    <row r="1629" spans="11:11" x14ac:dyDescent="0.25">
      <c r="K1629"/>
    </row>
    <row r="1630" spans="11:11" x14ac:dyDescent="0.25">
      <c r="K1630"/>
    </row>
    <row r="1631" spans="11:11" x14ac:dyDescent="0.25">
      <c r="K1631"/>
    </row>
    <row r="1632" spans="11:11" x14ac:dyDescent="0.25">
      <c r="K1632"/>
    </row>
    <row r="1633" spans="11:11" x14ac:dyDescent="0.25">
      <c r="K1633"/>
    </row>
    <row r="1634" spans="11:11" x14ac:dyDescent="0.25">
      <c r="K1634"/>
    </row>
    <row r="1635" spans="11:11" x14ac:dyDescent="0.25">
      <c r="K1635"/>
    </row>
    <row r="1636" spans="11:11" x14ac:dyDescent="0.25">
      <c r="K1636"/>
    </row>
    <row r="1637" spans="11:11" x14ac:dyDescent="0.25">
      <c r="K1637"/>
    </row>
    <row r="1638" spans="11:11" x14ac:dyDescent="0.25">
      <c r="K1638"/>
    </row>
    <row r="1639" spans="11:11" x14ac:dyDescent="0.25">
      <c r="K1639"/>
    </row>
    <row r="1640" spans="11:11" x14ac:dyDescent="0.25">
      <c r="K1640"/>
    </row>
    <row r="1641" spans="11:11" x14ac:dyDescent="0.25">
      <c r="K1641"/>
    </row>
    <row r="1642" spans="11:11" x14ac:dyDescent="0.25">
      <c r="K1642"/>
    </row>
    <row r="1643" spans="11:11" x14ac:dyDescent="0.25">
      <c r="K1643"/>
    </row>
    <row r="1644" spans="11:11" x14ac:dyDescent="0.25">
      <c r="K1644"/>
    </row>
    <row r="1645" spans="11:11" x14ac:dyDescent="0.25">
      <c r="K1645"/>
    </row>
    <row r="1646" spans="11:11" x14ac:dyDescent="0.25">
      <c r="K1646"/>
    </row>
    <row r="1647" spans="11:11" x14ac:dyDescent="0.25">
      <c r="K1647"/>
    </row>
    <row r="1648" spans="11:11" x14ac:dyDescent="0.25">
      <c r="K1648"/>
    </row>
    <row r="1649" spans="11:11" x14ac:dyDescent="0.25">
      <c r="K1649"/>
    </row>
    <row r="1650" spans="11:11" x14ac:dyDescent="0.25">
      <c r="K1650"/>
    </row>
    <row r="1651" spans="11:11" x14ac:dyDescent="0.25">
      <c r="K1651"/>
    </row>
    <row r="1652" spans="11:11" x14ac:dyDescent="0.25">
      <c r="K1652"/>
    </row>
    <row r="1653" spans="11:11" x14ac:dyDescent="0.25">
      <c r="K1653"/>
    </row>
    <row r="1654" spans="11:11" x14ac:dyDescent="0.25">
      <c r="K1654"/>
    </row>
    <row r="1655" spans="11:11" x14ac:dyDescent="0.25">
      <c r="K1655"/>
    </row>
    <row r="1656" spans="11:11" x14ac:dyDescent="0.25">
      <c r="K1656"/>
    </row>
    <row r="1657" spans="11:11" x14ac:dyDescent="0.25">
      <c r="K1657"/>
    </row>
    <row r="1658" spans="11:11" x14ac:dyDescent="0.25">
      <c r="K1658"/>
    </row>
    <row r="1659" spans="11:11" x14ac:dyDescent="0.25">
      <c r="K1659"/>
    </row>
    <row r="1660" spans="11:11" x14ac:dyDescent="0.25">
      <c r="K1660"/>
    </row>
    <row r="1661" spans="11:11" x14ac:dyDescent="0.25">
      <c r="K1661"/>
    </row>
    <row r="1662" spans="11:11" x14ac:dyDescent="0.25">
      <c r="K1662"/>
    </row>
    <row r="1663" spans="11:11" x14ac:dyDescent="0.25">
      <c r="K1663"/>
    </row>
    <row r="1664" spans="11:11" x14ac:dyDescent="0.25">
      <c r="K1664"/>
    </row>
    <row r="1665" spans="11:11" x14ac:dyDescent="0.25">
      <c r="K1665"/>
    </row>
    <row r="1666" spans="11:11" x14ac:dyDescent="0.25">
      <c r="K1666"/>
    </row>
    <row r="1667" spans="11:11" x14ac:dyDescent="0.25">
      <c r="K1667"/>
    </row>
    <row r="1668" spans="11:11" x14ac:dyDescent="0.25">
      <c r="K1668"/>
    </row>
    <row r="1669" spans="11:11" x14ac:dyDescent="0.25">
      <c r="K1669"/>
    </row>
    <row r="1670" spans="11:11" x14ac:dyDescent="0.25">
      <c r="K1670"/>
    </row>
    <row r="1671" spans="11:11" x14ac:dyDescent="0.25">
      <c r="K1671"/>
    </row>
    <row r="1672" spans="11:11" x14ac:dyDescent="0.25">
      <c r="K1672"/>
    </row>
    <row r="1673" spans="11:11" x14ac:dyDescent="0.25">
      <c r="K1673"/>
    </row>
    <row r="1674" spans="11:11" x14ac:dyDescent="0.25">
      <c r="K1674"/>
    </row>
    <row r="1675" spans="11:11" x14ac:dyDescent="0.25">
      <c r="K1675"/>
    </row>
    <row r="1676" spans="11:11" x14ac:dyDescent="0.25">
      <c r="K1676"/>
    </row>
    <row r="1677" spans="11:11" x14ac:dyDescent="0.25">
      <c r="K1677"/>
    </row>
    <row r="1678" spans="11:11" x14ac:dyDescent="0.25">
      <c r="K1678"/>
    </row>
    <row r="1679" spans="11:11" x14ac:dyDescent="0.25">
      <c r="K1679"/>
    </row>
    <row r="1680" spans="11:11" x14ac:dyDescent="0.25">
      <c r="K1680"/>
    </row>
    <row r="1681" spans="11:11" x14ac:dyDescent="0.25">
      <c r="K1681"/>
    </row>
    <row r="1682" spans="11:11" x14ac:dyDescent="0.25">
      <c r="K1682"/>
    </row>
    <row r="1683" spans="11:11" x14ac:dyDescent="0.25">
      <c r="K1683"/>
    </row>
    <row r="1684" spans="11:11" x14ac:dyDescent="0.25">
      <c r="K1684"/>
    </row>
    <row r="1685" spans="11:11" x14ac:dyDescent="0.25">
      <c r="K1685"/>
    </row>
    <row r="1686" spans="11:11" x14ac:dyDescent="0.25">
      <c r="K1686"/>
    </row>
    <row r="1687" spans="11:11" x14ac:dyDescent="0.25">
      <c r="K1687"/>
    </row>
    <row r="1688" spans="11:11" x14ac:dyDescent="0.25">
      <c r="K1688"/>
    </row>
    <row r="1689" spans="11:11" x14ac:dyDescent="0.25">
      <c r="K1689"/>
    </row>
    <row r="1690" spans="11:11" x14ac:dyDescent="0.25">
      <c r="K1690"/>
    </row>
    <row r="1691" spans="11:11" x14ac:dyDescent="0.25">
      <c r="K1691"/>
    </row>
    <row r="1692" spans="11:11" x14ac:dyDescent="0.25">
      <c r="K1692"/>
    </row>
    <row r="1693" spans="11:11" x14ac:dyDescent="0.25">
      <c r="K1693"/>
    </row>
    <row r="1694" spans="11:11" x14ac:dyDescent="0.25">
      <c r="K1694"/>
    </row>
    <row r="1695" spans="11:11" x14ac:dyDescent="0.25">
      <c r="K1695"/>
    </row>
    <row r="1696" spans="11:11" x14ac:dyDescent="0.25">
      <c r="K1696"/>
    </row>
    <row r="1697" spans="11:11" x14ac:dyDescent="0.25">
      <c r="K1697"/>
    </row>
    <row r="1698" spans="11:11" x14ac:dyDescent="0.25">
      <c r="K1698"/>
    </row>
    <row r="1699" spans="11:11" x14ac:dyDescent="0.25">
      <c r="K1699"/>
    </row>
    <row r="1700" spans="11:11" x14ac:dyDescent="0.25">
      <c r="K1700"/>
    </row>
    <row r="1701" spans="11:11" x14ac:dyDescent="0.25">
      <c r="K1701"/>
    </row>
    <row r="1702" spans="11:11" x14ac:dyDescent="0.25">
      <c r="K1702"/>
    </row>
    <row r="1703" spans="11:11" x14ac:dyDescent="0.25">
      <c r="K1703"/>
    </row>
    <row r="1704" spans="11:11" x14ac:dyDescent="0.25">
      <c r="K1704"/>
    </row>
    <row r="1705" spans="11:11" x14ac:dyDescent="0.25">
      <c r="K1705"/>
    </row>
    <row r="1706" spans="11:11" x14ac:dyDescent="0.25">
      <c r="K1706"/>
    </row>
    <row r="1707" spans="11:11" x14ac:dyDescent="0.25">
      <c r="K1707"/>
    </row>
    <row r="1708" spans="11:11" x14ac:dyDescent="0.25">
      <c r="K1708"/>
    </row>
    <row r="1709" spans="11:11" x14ac:dyDescent="0.25">
      <c r="K1709"/>
    </row>
    <row r="1710" spans="11:11" x14ac:dyDescent="0.25">
      <c r="K1710"/>
    </row>
    <row r="1711" spans="11:11" x14ac:dyDescent="0.25">
      <c r="K1711"/>
    </row>
    <row r="1712" spans="11:11" x14ac:dyDescent="0.25">
      <c r="K1712"/>
    </row>
    <row r="1713" spans="11:11" x14ac:dyDescent="0.25">
      <c r="K1713"/>
    </row>
    <row r="1714" spans="11:11" x14ac:dyDescent="0.25">
      <c r="K1714"/>
    </row>
    <row r="1715" spans="11:11" x14ac:dyDescent="0.25">
      <c r="K1715"/>
    </row>
    <row r="1716" spans="11:11" x14ac:dyDescent="0.25">
      <c r="K1716"/>
    </row>
    <row r="1717" spans="11:11" x14ac:dyDescent="0.25">
      <c r="K1717"/>
    </row>
    <row r="1718" spans="11:11" x14ac:dyDescent="0.25">
      <c r="K1718"/>
    </row>
    <row r="1719" spans="11:11" x14ac:dyDescent="0.25">
      <c r="K1719"/>
    </row>
    <row r="1720" spans="11:11" x14ac:dyDescent="0.25">
      <c r="K1720"/>
    </row>
    <row r="1721" spans="11:11" x14ac:dyDescent="0.25">
      <c r="K1721"/>
    </row>
    <row r="1722" spans="11:11" x14ac:dyDescent="0.25">
      <c r="K1722"/>
    </row>
    <row r="1723" spans="11:11" x14ac:dyDescent="0.25">
      <c r="K1723"/>
    </row>
    <row r="1724" spans="11:11" x14ac:dyDescent="0.25">
      <c r="K1724"/>
    </row>
    <row r="1725" spans="11:11" x14ac:dyDescent="0.25">
      <c r="K1725"/>
    </row>
    <row r="1726" spans="11:11" x14ac:dyDescent="0.25">
      <c r="K1726"/>
    </row>
    <row r="1727" spans="11:11" x14ac:dyDescent="0.25">
      <c r="K1727"/>
    </row>
    <row r="1728" spans="11:11" x14ac:dyDescent="0.25">
      <c r="K1728"/>
    </row>
    <row r="1729" spans="11:11" x14ac:dyDescent="0.25">
      <c r="K1729"/>
    </row>
    <row r="1730" spans="11:11" x14ac:dyDescent="0.25">
      <c r="K1730"/>
    </row>
    <row r="1731" spans="11:11" x14ac:dyDescent="0.25">
      <c r="K1731"/>
    </row>
    <row r="1732" spans="11:11" x14ac:dyDescent="0.25">
      <c r="K1732"/>
    </row>
    <row r="1733" spans="11:11" x14ac:dyDescent="0.25">
      <c r="K1733"/>
    </row>
    <row r="1734" spans="11:11" x14ac:dyDescent="0.25">
      <c r="K1734"/>
    </row>
    <row r="1735" spans="11:11" x14ac:dyDescent="0.25">
      <c r="K1735"/>
    </row>
    <row r="1736" spans="11:11" x14ac:dyDescent="0.25">
      <c r="K1736"/>
    </row>
    <row r="1737" spans="11:11" x14ac:dyDescent="0.25">
      <c r="K1737"/>
    </row>
    <row r="1738" spans="11:11" x14ac:dyDescent="0.25">
      <c r="K1738"/>
    </row>
    <row r="1739" spans="11:11" x14ac:dyDescent="0.25">
      <c r="K1739"/>
    </row>
    <row r="1740" spans="11:11" x14ac:dyDescent="0.25">
      <c r="K1740"/>
    </row>
    <row r="1741" spans="11:11" x14ac:dyDescent="0.25">
      <c r="K1741"/>
    </row>
    <row r="1742" spans="11:11" x14ac:dyDescent="0.25">
      <c r="K1742"/>
    </row>
    <row r="1743" spans="11:11" x14ac:dyDescent="0.25">
      <c r="K1743"/>
    </row>
    <row r="1744" spans="11:11" x14ac:dyDescent="0.25">
      <c r="K1744"/>
    </row>
    <row r="1745" spans="11:11" x14ac:dyDescent="0.25">
      <c r="K1745"/>
    </row>
    <row r="1746" spans="11:11" x14ac:dyDescent="0.25">
      <c r="K1746"/>
    </row>
    <row r="1747" spans="11:11" x14ac:dyDescent="0.25">
      <c r="K1747"/>
    </row>
    <row r="1748" spans="11:11" x14ac:dyDescent="0.25">
      <c r="K1748"/>
    </row>
    <row r="1749" spans="11:11" x14ac:dyDescent="0.25">
      <c r="K1749"/>
    </row>
    <row r="1750" spans="11:11" x14ac:dyDescent="0.25">
      <c r="K1750"/>
    </row>
    <row r="1751" spans="11:11" x14ac:dyDescent="0.25">
      <c r="K1751"/>
    </row>
    <row r="1752" spans="11:11" x14ac:dyDescent="0.25">
      <c r="K1752"/>
    </row>
    <row r="1753" spans="11:11" x14ac:dyDescent="0.25">
      <c r="K1753"/>
    </row>
    <row r="1754" spans="11:11" x14ac:dyDescent="0.25">
      <c r="K1754"/>
    </row>
    <row r="1755" spans="11:11" x14ac:dyDescent="0.25">
      <c r="K1755"/>
    </row>
    <row r="1756" spans="11:11" x14ac:dyDescent="0.25">
      <c r="K1756"/>
    </row>
    <row r="1757" spans="11:11" x14ac:dyDescent="0.25">
      <c r="K1757"/>
    </row>
    <row r="1758" spans="11:11" x14ac:dyDescent="0.25">
      <c r="K1758"/>
    </row>
    <row r="1759" spans="11:11" x14ac:dyDescent="0.25">
      <c r="K1759"/>
    </row>
    <row r="1760" spans="11:11" x14ac:dyDescent="0.25">
      <c r="K1760"/>
    </row>
    <row r="1761" spans="11:11" x14ac:dyDescent="0.25">
      <c r="K1761"/>
    </row>
    <row r="1762" spans="11:11" x14ac:dyDescent="0.25">
      <c r="K1762"/>
    </row>
    <row r="1763" spans="11:11" x14ac:dyDescent="0.25">
      <c r="K1763"/>
    </row>
    <row r="1764" spans="11:11" x14ac:dyDescent="0.25">
      <c r="K1764"/>
    </row>
    <row r="1765" spans="11:11" x14ac:dyDescent="0.25">
      <c r="K1765"/>
    </row>
    <row r="1766" spans="11:11" x14ac:dyDescent="0.25">
      <c r="K1766"/>
    </row>
    <row r="1767" spans="11:11" x14ac:dyDescent="0.25">
      <c r="K1767"/>
    </row>
    <row r="1768" spans="11:11" x14ac:dyDescent="0.25">
      <c r="K1768"/>
    </row>
    <row r="1769" spans="11:11" x14ac:dyDescent="0.25">
      <c r="K1769"/>
    </row>
    <row r="1770" spans="11:11" x14ac:dyDescent="0.25">
      <c r="K1770"/>
    </row>
    <row r="1771" spans="11:11" x14ac:dyDescent="0.25">
      <c r="K1771"/>
    </row>
    <row r="1772" spans="11:11" x14ac:dyDescent="0.25">
      <c r="K1772"/>
    </row>
    <row r="1773" spans="11:11" x14ac:dyDescent="0.25">
      <c r="K1773"/>
    </row>
    <row r="1774" spans="11:11" x14ac:dyDescent="0.25">
      <c r="K1774"/>
    </row>
    <row r="1775" spans="11:11" x14ac:dyDescent="0.25">
      <c r="K1775"/>
    </row>
    <row r="1776" spans="11:11" x14ac:dyDescent="0.25">
      <c r="K1776"/>
    </row>
    <row r="1777" spans="11:11" x14ac:dyDescent="0.25">
      <c r="K1777"/>
    </row>
    <row r="1778" spans="11:11" x14ac:dyDescent="0.25">
      <c r="K1778"/>
    </row>
    <row r="1779" spans="11:11" x14ac:dyDescent="0.25">
      <c r="K1779"/>
    </row>
    <row r="1780" spans="11:11" x14ac:dyDescent="0.25">
      <c r="K1780"/>
    </row>
    <row r="1781" spans="11:11" x14ac:dyDescent="0.25">
      <c r="K1781"/>
    </row>
    <row r="1782" spans="11:11" x14ac:dyDescent="0.25">
      <c r="K1782"/>
    </row>
    <row r="1783" spans="11:11" x14ac:dyDescent="0.25">
      <c r="K1783"/>
    </row>
    <row r="1784" spans="11:11" x14ac:dyDescent="0.25">
      <c r="K1784"/>
    </row>
    <row r="1785" spans="11:11" x14ac:dyDescent="0.25">
      <c r="K1785"/>
    </row>
    <row r="1786" spans="11:11" x14ac:dyDescent="0.25">
      <c r="K1786"/>
    </row>
    <row r="1787" spans="11:11" x14ac:dyDescent="0.25">
      <c r="K1787"/>
    </row>
    <row r="1788" spans="11:11" x14ac:dyDescent="0.25">
      <c r="K1788"/>
    </row>
    <row r="1789" spans="11:11" x14ac:dyDescent="0.25">
      <c r="K1789"/>
    </row>
    <row r="1790" spans="11:11" x14ac:dyDescent="0.25">
      <c r="K1790"/>
    </row>
    <row r="1791" spans="11:11" x14ac:dyDescent="0.25">
      <c r="K1791"/>
    </row>
    <row r="1792" spans="11:11" x14ac:dyDescent="0.25">
      <c r="K1792"/>
    </row>
    <row r="1793" spans="11:11" x14ac:dyDescent="0.25">
      <c r="K1793"/>
    </row>
    <row r="1794" spans="11:11" x14ac:dyDescent="0.25">
      <c r="K1794"/>
    </row>
    <row r="1795" spans="11:11" x14ac:dyDescent="0.25">
      <c r="K1795"/>
    </row>
    <row r="1796" spans="11:11" x14ac:dyDescent="0.25">
      <c r="K1796"/>
    </row>
    <row r="1797" spans="11:11" x14ac:dyDescent="0.25">
      <c r="K1797"/>
    </row>
    <row r="1798" spans="11:11" x14ac:dyDescent="0.25">
      <c r="K1798"/>
    </row>
    <row r="1799" spans="11:11" x14ac:dyDescent="0.25">
      <c r="K1799"/>
    </row>
    <row r="1800" spans="11:11" x14ac:dyDescent="0.25">
      <c r="K1800"/>
    </row>
    <row r="1801" spans="11:11" x14ac:dyDescent="0.25">
      <c r="K1801"/>
    </row>
    <row r="1802" spans="11:11" x14ac:dyDescent="0.25">
      <c r="K1802"/>
    </row>
    <row r="1803" spans="11:11" x14ac:dyDescent="0.25">
      <c r="K1803"/>
    </row>
    <row r="1804" spans="11:11" x14ac:dyDescent="0.25">
      <c r="K1804"/>
    </row>
    <row r="1805" spans="11:11" x14ac:dyDescent="0.25">
      <c r="K1805"/>
    </row>
    <row r="1806" spans="11:11" x14ac:dyDescent="0.25">
      <c r="K1806"/>
    </row>
    <row r="1807" spans="11:11" x14ac:dyDescent="0.25">
      <c r="K1807"/>
    </row>
    <row r="1808" spans="11:11" x14ac:dyDescent="0.25">
      <c r="K1808"/>
    </row>
    <row r="1809" spans="11:11" x14ac:dyDescent="0.25">
      <c r="K1809"/>
    </row>
    <row r="1810" spans="11:11" x14ac:dyDescent="0.25">
      <c r="K1810"/>
    </row>
    <row r="1811" spans="11:11" x14ac:dyDescent="0.25">
      <c r="K1811"/>
    </row>
    <row r="1812" spans="11:11" x14ac:dyDescent="0.25">
      <c r="K1812"/>
    </row>
    <row r="1813" spans="11:11" x14ac:dyDescent="0.25">
      <c r="K1813"/>
    </row>
    <row r="1814" spans="11:11" x14ac:dyDescent="0.25">
      <c r="K1814"/>
    </row>
    <row r="1815" spans="11:11" x14ac:dyDescent="0.25">
      <c r="K1815"/>
    </row>
    <row r="1816" spans="11:11" x14ac:dyDescent="0.25">
      <c r="K1816"/>
    </row>
    <row r="1817" spans="11:11" x14ac:dyDescent="0.25">
      <c r="K1817"/>
    </row>
    <row r="1818" spans="11:11" x14ac:dyDescent="0.25">
      <c r="K1818"/>
    </row>
    <row r="1819" spans="11:11" x14ac:dyDescent="0.25">
      <c r="K1819"/>
    </row>
    <row r="1820" spans="11:11" x14ac:dyDescent="0.25">
      <c r="K1820"/>
    </row>
    <row r="1821" spans="11:11" x14ac:dyDescent="0.25">
      <c r="K1821"/>
    </row>
    <row r="1822" spans="11:11" x14ac:dyDescent="0.25">
      <c r="K1822"/>
    </row>
    <row r="1823" spans="11:11" x14ac:dyDescent="0.25">
      <c r="K1823"/>
    </row>
    <row r="1824" spans="11:11" x14ac:dyDescent="0.25">
      <c r="K1824"/>
    </row>
    <row r="1825" spans="11:11" x14ac:dyDescent="0.25">
      <c r="K1825"/>
    </row>
    <row r="1826" spans="11:11" x14ac:dyDescent="0.25">
      <c r="K1826"/>
    </row>
    <row r="1827" spans="11:11" x14ac:dyDescent="0.25">
      <c r="K1827"/>
    </row>
    <row r="1828" spans="11:11" x14ac:dyDescent="0.25">
      <c r="K1828"/>
    </row>
    <row r="1829" spans="11:11" x14ac:dyDescent="0.25">
      <c r="K1829"/>
    </row>
    <row r="1830" spans="11:11" x14ac:dyDescent="0.25">
      <c r="K1830"/>
    </row>
    <row r="1831" spans="11:11" x14ac:dyDescent="0.25">
      <c r="K1831"/>
    </row>
    <row r="1832" spans="11:11" x14ac:dyDescent="0.25">
      <c r="K1832"/>
    </row>
    <row r="1833" spans="11:11" x14ac:dyDescent="0.25">
      <c r="K1833"/>
    </row>
    <row r="1834" spans="11:11" x14ac:dyDescent="0.25">
      <c r="K1834"/>
    </row>
    <row r="1835" spans="11:11" x14ac:dyDescent="0.25">
      <c r="K1835"/>
    </row>
    <row r="1836" spans="11:11" x14ac:dyDescent="0.25">
      <c r="K1836"/>
    </row>
    <row r="1837" spans="11:11" x14ac:dyDescent="0.25">
      <c r="K1837"/>
    </row>
    <row r="1838" spans="11:11" x14ac:dyDescent="0.25">
      <c r="K1838"/>
    </row>
    <row r="1839" spans="11:11" x14ac:dyDescent="0.25">
      <c r="K1839"/>
    </row>
    <row r="1840" spans="11:11" x14ac:dyDescent="0.25">
      <c r="K1840"/>
    </row>
    <row r="1841" spans="11:11" x14ac:dyDescent="0.25">
      <c r="K1841"/>
    </row>
    <row r="1842" spans="11:11" x14ac:dyDescent="0.25">
      <c r="K1842"/>
    </row>
    <row r="1843" spans="11:11" x14ac:dyDescent="0.25">
      <c r="K1843"/>
    </row>
    <row r="1844" spans="11:11" x14ac:dyDescent="0.25">
      <c r="K1844"/>
    </row>
    <row r="1845" spans="11:11" x14ac:dyDescent="0.25">
      <c r="K1845"/>
    </row>
    <row r="1846" spans="11:11" x14ac:dyDescent="0.25">
      <c r="K1846"/>
    </row>
    <row r="1847" spans="11:11" x14ac:dyDescent="0.25">
      <c r="K1847"/>
    </row>
    <row r="1848" spans="11:11" x14ac:dyDescent="0.25">
      <c r="K1848"/>
    </row>
    <row r="1849" spans="11:11" x14ac:dyDescent="0.25">
      <c r="K1849"/>
    </row>
    <row r="1850" spans="11:11" x14ac:dyDescent="0.25">
      <c r="K1850"/>
    </row>
    <row r="1851" spans="11:11" x14ac:dyDescent="0.25">
      <c r="K1851"/>
    </row>
    <row r="1852" spans="11:11" x14ac:dyDescent="0.25">
      <c r="K1852"/>
    </row>
    <row r="1853" spans="11:11" x14ac:dyDescent="0.25">
      <c r="K1853"/>
    </row>
    <row r="1854" spans="11:11" x14ac:dyDescent="0.25">
      <c r="K1854"/>
    </row>
    <row r="1855" spans="11:11" x14ac:dyDescent="0.25">
      <c r="K1855"/>
    </row>
    <row r="1856" spans="11:11" x14ac:dyDescent="0.25">
      <c r="K1856"/>
    </row>
    <row r="1857" spans="11:11" x14ac:dyDescent="0.25">
      <c r="K1857"/>
    </row>
    <row r="1858" spans="11:11" x14ac:dyDescent="0.25">
      <c r="K1858"/>
    </row>
    <row r="1859" spans="11:11" x14ac:dyDescent="0.25">
      <c r="K1859"/>
    </row>
    <row r="1860" spans="11:11" x14ac:dyDescent="0.25">
      <c r="K1860"/>
    </row>
    <row r="1861" spans="11:11" x14ac:dyDescent="0.25">
      <c r="K1861"/>
    </row>
    <row r="1862" spans="11:11" x14ac:dyDescent="0.25">
      <c r="K1862"/>
    </row>
    <row r="1863" spans="11:11" x14ac:dyDescent="0.25">
      <c r="K1863"/>
    </row>
    <row r="1864" spans="11:11" x14ac:dyDescent="0.25">
      <c r="K1864"/>
    </row>
    <row r="1865" spans="11:11" x14ac:dyDescent="0.25">
      <c r="K1865"/>
    </row>
    <row r="1866" spans="11:11" x14ac:dyDescent="0.25">
      <c r="K1866"/>
    </row>
    <row r="1867" spans="11:11" x14ac:dyDescent="0.25">
      <c r="K1867"/>
    </row>
    <row r="1868" spans="11:11" x14ac:dyDescent="0.25">
      <c r="K1868"/>
    </row>
    <row r="1869" spans="11:11" x14ac:dyDescent="0.25">
      <c r="K1869"/>
    </row>
    <row r="1870" spans="11:11" x14ac:dyDescent="0.25">
      <c r="K1870"/>
    </row>
    <row r="1871" spans="11:11" x14ac:dyDescent="0.25">
      <c r="K1871"/>
    </row>
    <row r="1872" spans="11:11" x14ac:dyDescent="0.25">
      <c r="K1872"/>
    </row>
    <row r="1873" spans="11:11" x14ac:dyDescent="0.25">
      <c r="K1873"/>
    </row>
    <row r="1874" spans="11:11" x14ac:dyDescent="0.25">
      <c r="K1874"/>
    </row>
    <row r="1875" spans="11:11" x14ac:dyDescent="0.25">
      <c r="K1875"/>
    </row>
    <row r="1876" spans="11:11" x14ac:dyDescent="0.25">
      <c r="K1876"/>
    </row>
    <row r="1877" spans="11:11" x14ac:dyDescent="0.25">
      <c r="K1877"/>
    </row>
    <row r="1878" spans="11:11" x14ac:dyDescent="0.25">
      <c r="K1878"/>
    </row>
    <row r="1879" spans="11:11" x14ac:dyDescent="0.25">
      <c r="K1879"/>
    </row>
    <row r="1880" spans="11:11" x14ac:dyDescent="0.25">
      <c r="K1880"/>
    </row>
    <row r="1881" spans="11:11" x14ac:dyDescent="0.25">
      <c r="K1881"/>
    </row>
    <row r="1882" spans="11:11" x14ac:dyDescent="0.25">
      <c r="K1882"/>
    </row>
    <row r="1883" spans="11:11" x14ac:dyDescent="0.25">
      <c r="K1883"/>
    </row>
    <row r="1884" spans="11:11" x14ac:dyDescent="0.25">
      <c r="K1884"/>
    </row>
    <row r="1885" spans="11:11" x14ac:dyDescent="0.25">
      <c r="K1885"/>
    </row>
    <row r="1886" spans="11:11" x14ac:dyDescent="0.25">
      <c r="K1886"/>
    </row>
    <row r="1887" spans="11:11" x14ac:dyDescent="0.25">
      <c r="K1887"/>
    </row>
    <row r="1888" spans="11:11" x14ac:dyDescent="0.25">
      <c r="K1888"/>
    </row>
    <row r="1889" spans="11:11" x14ac:dyDescent="0.25">
      <c r="K1889"/>
    </row>
    <row r="1890" spans="11:11" x14ac:dyDescent="0.25">
      <c r="K1890"/>
    </row>
    <row r="1891" spans="11:11" x14ac:dyDescent="0.25">
      <c r="K1891"/>
    </row>
    <row r="1892" spans="11:11" x14ac:dyDescent="0.25">
      <c r="K1892"/>
    </row>
    <row r="1893" spans="11:11" x14ac:dyDescent="0.25">
      <c r="K1893"/>
    </row>
    <row r="1894" spans="11:11" x14ac:dyDescent="0.25">
      <c r="K1894"/>
    </row>
    <row r="1895" spans="11:11" x14ac:dyDescent="0.25">
      <c r="K1895"/>
    </row>
    <row r="1896" spans="11:11" x14ac:dyDescent="0.25">
      <c r="K1896"/>
    </row>
    <row r="1897" spans="11:11" x14ac:dyDescent="0.25">
      <c r="K1897"/>
    </row>
    <row r="1898" spans="11:11" x14ac:dyDescent="0.25">
      <c r="K1898"/>
    </row>
    <row r="1899" spans="11:11" x14ac:dyDescent="0.25">
      <c r="K1899"/>
    </row>
    <row r="1900" spans="11:11" x14ac:dyDescent="0.25">
      <c r="K1900"/>
    </row>
    <row r="1901" spans="11:11" x14ac:dyDescent="0.25">
      <c r="K1901"/>
    </row>
    <row r="1902" spans="11:11" x14ac:dyDescent="0.25">
      <c r="K1902"/>
    </row>
    <row r="1903" spans="11:11" x14ac:dyDescent="0.25">
      <c r="K1903"/>
    </row>
    <row r="1904" spans="11:11" x14ac:dyDescent="0.25">
      <c r="K1904"/>
    </row>
    <row r="1905" spans="11:11" x14ac:dyDescent="0.25">
      <c r="K1905"/>
    </row>
    <row r="1906" spans="11:11" x14ac:dyDescent="0.25">
      <c r="K1906"/>
    </row>
    <row r="1907" spans="11:11" x14ac:dyDescent="0.25">
      <c r="K1907"/>
    </row>
    <row r="1908" spans="11:11" x14ac:dyDescent="0.25">
      <c r="K1908"/>
    </row>
    <row r="1909" spans="11:11" x14ac:dyDescent="0.25">
      <c r="K1909"/>
    </row>
    <row r="1910" spans="11:11" x14ac:dyDescent="0.25">
      <c r="K1910"/>
    </row>
    <row r="1911" spans="11:11" x14ac:dyDescent="0.25">
      <c r="K1911"/>
    </row>
    <row r="1912" spans="11:11" x14ac:dyDescent="0.25">
      <c r="K1912"/>
    </row>
    <row r="1913" spans="11:11" x14ac:dyDescent="0.25">
      <c r="K1913"/>
    </row>
    <row r="1914" spans="11:11" x14ac:dyDescent="0.25">
      <c r="K1914"/>
    </row>
    <row r="1915" spans="11:11" x14ac:dyDescent="0.25">
      <c r="K1915"/>
    </row>
    <row r="1916" spans="11:11" x14ac:dyDescent="0.25">
      <c r="K1916"/>
    </row>
    <row r="1917" spans="11:11" x14ac:dyDescent="0.25">
      <c r="K1917"/>
    </row>
    <row r="1918" spans="11:11" x14ac:dyDescent="0.25">
      <c r="K1918"/>
    </row>
    <row r="1919" spans="11:11" x14ac:dyDescent="0.25">
      <c r="K1919"/>
    </row>
    <row r="1920" spans="11:11" x14ac:dyDescent="0.25">
      <c r="K1920"/>
    </row>
    <row r="1921" spans="11:11" x14ac:dyDescent="0.25">
      <c r="K1921"/>
    </row>
    <row r="1922" spans="11:11" x14ac:dyDescent="0.25">
      <c r="K1922"/>
    </row>
    <row r="1923" spans="11:11" x14ac:dyDescent="0.25">
      <c r="K1923"/>
    </row>
    <row r="1924" spans="11:11" x14ac:dyDescent="0.25">
      <c r="K1924"/>
    </row>
    <row r="1925" spans="11:11" x14ac:dyDescent="0.25">
      <c r="K1925"/>
    </row>
    <row r="1926" spans="11:11" x14ac:dyDescent="0.25">
      <c r="K1926"/>
    </row>
    <row r="1927" spans="11:11" x14ac:dyDescent="0.25">
      <c r="K1927"/>
    </row>
    <row r="1928" spans="11:11" x14ac:dyDescent="0.25">
      <c r="K1928"/>
    </row>
    <row r="1929" spans="11:11" x14ac:dyDescent="0.25">
      <c r="K1929"/>
    </row>
    <row r="1930" spans="11:11" x14ac:dyDescent="0.25">
      <c r="K1930"/>
    </row>
    <row r="1931" spans="11:11" x14ac:dyDescent="0.25">
      <c r="K1931"/>
    </row>
    <row r="1932" spans="11:11" x14ac:dyDescent="0.25">
      <c r="K1932"/>
    </row>
    <row r="1933" spans="11:11" x14ac:dyDescent="0.25">
      <c r="K1933"/>
    </row>
    <row r="1934" spans="11:11" x14ac:dyDescent="0.25">
      <c r="K1934"/>
    </row>
    <row r="1935" spans="11:11" x14ac:dyDescent="0.25">
      <c r="K1935"/>
    </row>
    <row r="1936" spans="11:11" x14ac:dyDescent="0.25">
      <c r="K1936"/>
    </row>
    <row r="1937" spans="11:11" x14ac:dyDescent="0.25">
      <c r="K1937"/>
    </row>
    <row r="1938" spans="11:11" x14ac:dyDescent="0.25">
      <c r="K1938"/>
    </row>
    <row r="1939" spans="11:11" x14ac:dyDescent="0.25">
      <c r="K1939"/>
    </row>
    <row r="1940" spans="11:11" x14ac:dyDescent="0.25">
      <c r="K1940"/>
    </row>
    <row r="1941" spans="11:11" x14ac:dyDescent="0.25">
      <c r="K1941"/>
    </row>
    <row r="1942" spans="11:11" x14ac:dyDescent="0.25">
      <c r="K1942"/>
    </row>
    <row r="1943" spans="11:11" x14ac:dyDescent="0.25">
      <c r="K1943"/>
    </row>
    <row r="1944" spans="11:11" x14ac:dyDescent="0.25">
      <c r="K1944"/>
    </row>
    <row r="1945" spans="11:11" x14ac:dyDescent="0.25">
      <c r="K1945"/>
    </row>
    <row r="1946" spans="11:11" x14ac:dyDescent="0.25">
      <c r="K1946"/>
    </row>
    <row r="1947" spans="11:11" x14ac:dyDescent="0.25">
      <c r="K1947"/>
    </row>
    <row r="1948" spans="11:11" x14ac:dyDescent="0.25">
      <c r="K1948"/>
    </row>
    <row r="1949" spans="11:11" x14ac:dyDescent="0.25">
      <c r="K1949"/>
    </row>
    <row r="1950" spans="11:11" x14ac:dyDescent="0.25">
      <c r="K1950"/>
    </row>
    <row r="1951" spans="11:11" x14ac:dyDescent="0.25">
      <c r="K1951"/>
    </row>
    <row r="1952" spans="11:11" x14ac:dyDescent="0.25">
      <c r="K1952"/>
    </row>
    <row r="1953" spans="11:11" x14ac:dyDescent="0.25">
      <c r="K1953"/>
    </row>
    <row r="1954" spans="11:11" x14ac:dyDescent="0.25">
      <c r="K1954"/>
    </row>
    <row r="1955" spans="11:11" x14ac:dyDescent="0.25">
      <c r="K1955"/>
    </row>
    <row r="1956" spans="11:11" x14ac:dyDescent="0.25">
      <c r="K1956"/>
    </row>
    <row r="1957" spans="11:11" x14ac:dyDescent="0.25">
      <c r="K1957"/>
    </row>
    <row r="1958" spans="11:11" x14ac:dyDescent="0.25">
      <c r="K1958"/>
    </row>
    <row r="1959" spans="11:11" x14ac:dyDescent="0.25">
      <c r="K1959"/>
    </row>
    <row r="1960" spans="11:11" x14ac:dyDescent="0.25">
      <c r="K1960"/>
    </row>
    <row r="1961" spans="11:11" x14ac:dyDescent="0.25">
      <c r="K1961"/>
    </row>
    <row r="1962" spans="11:11" x14ac:dyDescent="0.25">
      <c r="K1962"/>
    </row>
    <row r="1963" spans="11:11" x14ac:dyDescent="0.25">
      <c r="K1963"/>
    </row>
    <row r="1964" spans="11:11" x14ac:dyDescent="0.25">
      <c r="K1964"/>
    </row>
    <row r="1965" spans="11:11" x14ac:dyDescent="0.25">
      <c r="K1965"/>
    </row>
    <row r="1966" spans="11:11" x14ac:dyDescent="0.25">
      <c r="K1966"/>
    </row>
    <row r="1967" spans="11:11" x14ac:dyDescent="0.25">
      <c r="K1967"/>
    </row>
    <row r="1968" spans="11:11" x14ac:dyDescent="0.25">
      <c r="K1968"/>
    </row>
    <row r="1969" spans="11:11" x14ac:dyDescent="0.25">
      <c r="K1969"/>
    </row>
    <row r="1970" spans="11:11" x14ac:dyDescent="0.25">
      <c r="K1970"/>
    </row>
    <row r="1971" spans="11:11" x14ac:dyDescent="0.25">
      <c r="K1971"/>
    </row>
    <row r="1972" spans="11:11" x14ac:dyDescent="0.25">
      <c r="K1972"/>
    </row>
    <row r="1973" spans="11:11" x14ac:dyDescent="0.25">
      <c r="K1973"/>
    </row>
    <row r="1974" spans="11:11" x14ac:dyDescent="0.25">
      <c r="K1974"/>
    </row>
    <row r="1975" spans="11:11" x14ac:dyDescent="0.25">
      <c r="K1975"/>
    </row>
    <row r="1976" spans="11:11" x14ac:dyDescent="0.25">
      <c r="K1976"/>
    </row>
    <row r="1977" spans="11:11" x14ac:dyDescent="0.25">
      <c r="K1977"/>
    </row>
    <row r="1978" spans="11:11" x14ac:dyDescent="0.25">
      <c r="K1978"/>
    </row>
    <row r="1979" spans="11:11" x14ac:dyDescent="0.25">
      <c r="K1979"/>
    </row>
    <row r="1980" spans="11:11" x14ac:dyDescent="0.25">
      <c r="K1980"/>
    </row>
    <row r="1981" spans="11:11" x14ac:dyDescent="0.25">
      <c r="K1981"/>
    </row>
    <row r="1982" spans="11:11" x14ac:dyDescent="0.25">
      <c r="K1982"/>
    </row>
    <row r="1983" spans="11:11" x14ac:dyDescent="0.25">
      <c r="K1983"/>
    </row>
    <row r="1984" spans="11:11" x14ac:dyDescent="0.25">
      <c r="K1984"/>
    </row>
    <row r="1985" spans="11:11" x14ac:dyDescent="0.25">
      <c r="K1985"/>
    </row>
    <row r="1986" spans="11:11" x14ac:dyDescent="0.25">
      <c r="K1986"/>
    </row>
    <row r="1987" spans="11:11" x14ac:dyDescent="0.25">
      <c r="K1987"/>
    </row>
    <row r="1988" spans="11:11" x14ac:dyDescent="0.25">
      <c r="K1988"/>
    </row>
    <row r="1989" spans="11:11" x14ac:dyDescent="0.25">
      <c r="K1989"/>
    </row>
    <row r="1990" spans="11:11" x14ac:dyDescent="0.25">
      <c r="K1990"/>
    </row>
    <row r="1991" spans="11:11" x14ac:dyDescent="0.25">
      <c r="K1991"/>
    </row>
    <row r="1992" spans="11:11" x14ac:dyDescent="0.25">
      <c r="K1992"/>
    </row>
    <row r="1993" spans="11:11" x14ac:dyDescent="0.25">
      <c r="K1993"/>
    </row>
    <row r="1994" spans="11:11" x14ac:dyDescent="0.25">
      <c r="K1994"/>
    </row>
    <row r="1995" spans="11:11" x14ac:dyDescent="0.25">
      <c r="K1995"/>
    </row>
    <row r="1996" spans="11:11" x14ac:dyDescent="0.25">
      <c r="K1996"/>
    </row>
    <row r="1997" spans="11:11" x14ac:dyDescent="0.25">
      <c r="K1997"/>
    </row>
    <row r="1998" spans="11:11" x14ac:dyDescent="0.25">
      <c r="K1998"/>
    </row>
    <row r="1999" spans="11:11" x14ac:dyDescent="0.25">
      <c r="K1999"/>
    </row>
    <row r="2000" spans="11:11" x14ac:dyDescent="0.25">
      <c r="K2000"/>
    </row>
    <row r="2001" spans="11:11" x14ac:dyDescent="0.25">
      <c r="K2001"/>
    </row>
    <row r="2002" spans="11:11" x14ac:dyDescent="0.25">
      <c r="K2002"/>
    </row>
    <row r="2003" spans="11:11" x14ac:dyDescent="0.25">
      <c r="K2003"/>
    </row>
    <row r="2004" spans="11:11" x14ac:dyDescent="0.25">
      <c r="K2004"/>
    </row>
    <row r="2005" spans="11:11" x14ac:dyDescent="0.25">
      <c r="K2005"/>
    </row>
    <row r="2006" spans="11:11" x14ac:dyDescent="0.25">
      <c r="K2006"/>
    </row>
    <row r="2007" spans="11:11" x14ac:dyDescent="0.25">
      <c r="K2007"/>
    </row>
    <row r="2008" spans="11:11" x14ac:dyDescent="0.25">
      <c r="K2008"/>
    </row>
    <row r="2009" spans="11:11" x14ac:dyDescent="0.25">
      <c r="K2009"/>
    </row>
    <row r="2010" spans="11:11" x14ac:dyDescent="0.25">
      <c r="K2010"/>
    </row>
    <row r="2011" spans="11:11" x14ac:dyDescent="0.25">
      <c r="K2011"/>
    </row>
    <row r="2012" spans="11:11" x14ac:dyDescent="0.25">
      <c r="K2012"/>
    </row>
    <row r="2013" spans="11:11" x14ac:dyDescent="0.25">
      <c r="K2013"/>
    </row>
    <row r="2014" spans="11:11" x14ac:dyDescent="0.25">
      <c r="K2014"/>
    </row>
    <row r="2015" spans="11:11" x14ac:dyDescent="0.25">
      <c r="K2015"/>
    </row>
    <row r="2016" spans="11:11" x14ac:dyDescent="0.25">
      <c r="K2016"/>
    </row>
    <row r="2017" spans="11:11" x14ac:dyDescent="0.25">
      <c r="K2017"/>
    </row>
    <row r="2018" spans="11:11" x14ac:dyDescent="0.25">
      <c r="K2018"/>
    </row>
    <row r="2019" spans="11:11" x14ac:dyDescent="0.25">
      <c r="K2019"/>
    </row>
    <row r="2020" spans="11:11" x14ac:dyDescent="0.25">
      <c r="K2020"/>
    </row>
    <row r="2021" spans="11:11" x14ac:dyDescent="0.25">
      <c r="K2021"/>
    </row>
    <row r="2022" spans="11:11" x14ac:dyDescent="0.25">
      <c r="K2022"/>
    </row>
    <row r="2023" spans="11:11" x14ac:dyDescent="0.25">
      <c r="K2023"/>
    </row>
    <row r="2024" spans="11:11" x14ac:dyDescent="0.25">
      <c r="K2024"/>
    </row>
    <row r="2025" spans="11:11" x14ac:dyDescent="0.25">
      <c r="K2025"/>
    </row>
    <row r="2026" spans="11:11" x14ac:dyDescent="0.25">
      <c r="K2026"/>
    </row>
    <row r="2027" spans="11:11" x14ac:dyDescent="0.25">
      <c r="K2027"/>
    </row>
    <row r="2028" spans="11:11" x14ac:dyDescent="0.25">
      <c r="K2028"/>
    </row>
    <row r="2029" spans="11:11" x14ac:dyDescent="0.25">
      <c r="K2029"/>
    </row>
    <row r="2030" spans="11:11" x14ac:dyDescent="0.25">
      <c r="K2030"/>
    </row>
    <row r="2031" spans="11:11" x14ac:dyDescent="0.25">
      <c r="K2031"/>
    </row>
    <row r="2032" spans="11:11" x14ac:dyDescent="0.25">
      <c r="K2032"/>
    </row>
    <row r="2033" spans="11:11" x14ac:dyDescent="0.25">
      <c r="K2033"/>
    </row>
    <row r="2034" spans="11:11" x14ac:dyDescent="0.25">
      <c r="K2034"/>
    </row>
    <row r="2035" spans="11:11" x14ac:dyDescent="0.25">
      <c r="K2035"/>
    </row>
    <row r="2036" spans="11:11" x14ac:dyDescent="0.25">
      <c r="K2036"/>
    </row>
    <row r="2037" spans="11:11" x14ac:dyDescent="0.25">
      <c r="K2037"/>
    </row>
    <row r="2038" spans="11:11" x14ac:dyDescent="0.25">
      <c r="K2038"/>
    </row>
    <row r="2039" spans="11:11" x14ac:dyDescent="0.25">
      <c r="K2039"/>
    </row>
    <row r="2040" spans="11:11" x14ac:dyDescent="0.25">
      <c r="K2040"/>
    </row>
    <row r="2041" spans="11:11" x14ac:dyDescent="0.25">
      <c r="K2041"/>
    </row>
    <row r="2042" spans="11:11" x14ac:dyDescent="0.25">
      <c r="K2042"/>
    </row>
    <row r="2043" spans="11:11" x14ac:dyDescent="0.25">
      <c r="K2043"/>
    </row>
    <row r="2044" spans="11:11" x14ac:dyDescent="0.25">
      <c r="K2044"/>
    </row>
    <row r="2045" spans="11:11" x14ac:dyDescent="0.25">
      <c r="K2045"/>
    </row>
    <row r="2046" spans="11:11" x14ac:dyDescent="0.25">
      <c r="K2046"/>
    </row>
    <row r="2047" spans="11:11" x14ac:dyDescent="0.25">
      <c r="K2047"/>
    </row>
    <row r="2048" spans="11:11" x14ac:dyDescent="0.25">
      <c r="K2048"/>
    </row>
    <row r="2049" spans="11:11" x14ac:dyDescent="0.25">
      <c r="K2049"/>
    </row>
    <row r="2050" spans="11:11" x14ac:dyDescent="0.25">
      <c r="K2050"/>
    </row>
    <row r="2051" spans="11:11" x14ac:dyDescent="0.25">
      <c r="K2051"/>
    </row>
    <row r="2052" spans="11:11" x14ac:dyDescent="0.25">
      <c r="K2052"/>
    </row>
    <row r="2053" spans="11:11" x14ac:dyDescent="0.25">
      <c r="K2053"/>
    </row>
    <row r="2054" spans="11:11" x14ac:dyDescent="0.25">
      <c r="K2054"/>
    </row>
    <row r="2055" spans="11:11" x14ac:dyDescent="0.25">
      <c r="K2055"/>
    </row>
    <row r="2056" spans="11:11" x14ac:dyDescent="0.25">
      <c r="K2056"/>
    </row>
    <row r="2057" spans="11:11" x14ac:dyDescent="0.25">
      <c r="K2057"/>
    </row>
    <row r="2058" spans="11:11" x14ac:dyDescent="0.25">
      <c r="K2058"/>
    </row>
    <row r="2059" spans="11:11" x14ac:dyDescent="0.25">
      <c r="K2059"/>
    </row>
    <row r="2060" spans="11:11" x14ac:dyDescent="0.25">
      <c r="K2060"/>
    </row>
    <row r="2061" spans="11:11" x14ac:dyDescent="0.25">
      <c r="K2061"/>
    </row>
    <row r="2062" spans="11:11" x14ac:dyDescent="0.25">
      <c r="K2062"/>
    </row>
    <row r="2063" spans="11:11" x14ac:dyDescent="0.25">
      <c r="K2063"/>
    </row>
    <row r="2064" spans="11:11" x14ac:dyDescent="0.25">
      <c r="K2064"/>
    </row>
    <row r="2065" spans="11:11" x14ac:dyDescent="0.25">
      <c r="K2065"/>
    </row>
    <row r="2066" spans="11:11" x14ac:dyDescent="0.25">
      <c r="K2066"/>
    </row>
    <row r="2067" spans="11:11" x14ac:dyDescent="0.25">
      <c r="K2067"/>
    </row>
    <row r="2068" spans="11:11" x14ac:dyDescent="0.25">
      <c r="K2068"/>
    </row>
    <row r="2069" spans="11:11" x14ac:dyDescent="0.25">
      <c r="K2069"/>
    </row>
    <row r="2070" spans="11:11" x14ac:dyDescent="0.25">
      <c r="K2070"/>
    </row>
    <row r="2071" spans="11:11" x14ac:dyDescent="0.25">
      <c r="K2071"/>
    </row>
    <row r="2072" spans="11:11" x14ac:dyDescent="0.25">
      <c r="K2072"/>
    </row>
    <row r="2073" spans="11:11" x14ac:dyDescent="0.25">
      <c r="K2073"/>
    </row>
    <row r="2074" spans="11:11" x14ac:dyDescent="0.25">
      <c r="K2074"/>
    </row>
    <row r="2075" spans="11:11" x14ac:dyDescent="0.25">
      <c r="K2075"/>
    </row>
    <row r="2076" spans="11:11" x14ac:dyDescent="0.25">
      <c r="K2076"/>
    </row>
    <row r="2077" spans="11:11" x14ac:dyDescent="0.25">
      <c r="K2077"/>
    </row>
    <row r="2078" spans="11:11" x14ac:dyDescent="0.25">
      <c r="K2078"/>
    </row>
    <row r="2079" spans="11:11" x14ac:dyDescent="0.25">
      <c r="K2079"/>
    </row>
    <row r="2080" spans="11:11" x14ac:dyDescent="0.25">
      <c r="K2080"/>
    </row>
    <row r="2081" spans="11:11" x14ac:dyDescent="0.25">
      <c r="K2081"/>
    </row>
    <row r="2082" spans="11:11" x14ac:dyDescent="0.25">
      <c r="K2082"/>
    </row>
    <row r="2083" spans="11:11" x14ac:dyDescent="0.25">
      <c r="K2083"/>
    </row>
    <row r="2084" spans="11:11" x14ac:dyDescent="0.25">
      <c r="K2084"/>
    </row>
    <row r="2085" spans="11:11" x14ac:dyDescent="0.25">
      <c r="K2085"/>
    </row>
    <row r="2086" spans="11:11" x14ac:dyDescent="0.25">
      <c r="K2086"/>
    </row>
    <row r="2087" spans="11:11" x14ac:dyDescent="0.25">
      <c r="K2087"/>
    </row>
    <row r="2088" spans="11:11" x14ac:dyDescent="0.25">
      <c r="K2088"/>
    </row>
    <row r="2089" spans="11:11" x14ac:dyDescent="0.25">
      <c r="K2089"/>
    </row>
    <row r="2090" spans="11:11" x14ac:dyDescent="0.25">
      <c r="K2090"/>
    </row>
    <row r="2091" spans="11:11" x14ac:dyDescent="0.25">
      <c r="K2091"/>
    </row>
    <row r="2092" spans="11:11" x14ac:dyDescent="0.25">
      <c r="K2092"/>
    </row>
    <row r="2093" spans="11:11" x14ac:dyDescent="0.25">
      <c r="K2093"/>
    </row>
    <row r="2094" spans="11:11" x14ac:dyDescent="0.25">
      <c r="K2094"/>
    </row>
    <row r="2095" spans="11:11" x14ac:dyDescent="0.25">
      <c r="K2095"/>
    </row>
    <row r="2096" spans="11:11" x14ac:dyDescent="0.25">
      <c r="K2096"/>
    </row>
    <row r="2097" spans="11:11" x14ac:dyDescent="0.25">
      <c r="K2097"/>
    </row>
    <row r="2098" spans="11:11" x14ac:dyDescent="0.25">
      <c r="K2098"/>
    </row>
    <row r="2099" spans="11:11" x14ac:dyDescent="0.25">
      <c r="K2099"/>
    </row>
    <row r="2100" spans="11:11" x14ac:dyDescent="0.25">
      <c r="K2100"/>
    </row>
    <row r="2101" spans="11:11" x14ac:dyDescent="0.25">
      <c r="K2101"/>
    </row>
    <row r="2102" spans="11:11" x14ac:dyDescent="0.25">
      <c r="K2102"/>
    </row>
    <row r="2103" spans="11:11" x14ac:dyDescent="0.25">
      <c r="K2103"/>
    </row>
    <row r="2104" spans="11:11" x14ac:dyDescent="0.25">
      <c r="K2104"/>
    </row>
    <row r="2105" spans="11:11" x14ac:dyDescent="0.25">
      <c r="K2105"/>
    </row>
    <row r="2106" spans="11:11" x14ac:dyDescent="0.25">
      <c r="K2106"/>
    </row>
    <row r="2107" spans="11:11" x14ac:dyDescent="0.25">
      <c r="K2107"/>
    </row>
    <row r="2108" spans="11:11" x14ac:dyDescent="0.25">
      <c r="K2108"/>
    </row>
    <row r="2109" spans="11:11" x14ac:dyDescent="0.25">
      <c r="K2109"/>
    </row>
    <row r="2110" spans="11:11" x14ac:dyDescent="0.25">
      <c r="K2110"/>
    </row>
    <row r="2111" spans="11:11" x14ac:dyDescent="0.25">
      <c r="K2111"/>
    </row>
    <row r="2112" spans="11:11" x14ac:dyDescent="0.25">
      <c r="K2112"/>
    </row>
    <row r="2113" spans="11:11" x14ac:dyDescent="0.25">
      <c r="K2113"/>
    </row>
    <row r="2114" spans="11:11" x14ac:dyDescent="0.25">
      <c r="K2114"/>
    </row>
    <row r="2115" spans="11:11" x14ac:dyDescent="0.25">
      <c r="K2115"/>
    </row>
    <row r="2116" spans="11:11" x14ac:dyDescent="0.25">
      <c r="K2116"/>
    </row>
    <row r="2117" spans="11:11" x14ac:dyDescent="0.25">
      <c r="K2117"/>
    </row>
    <row r="2118" spans="11:11" x14ac:dyDescent="0.25">
      <c r="K2118"/>
    </row>
    <row r="2119" spans="11:11" x14ac:dyDescent="0.25">
      <c r="K2119"/>
    </row>
    <row r="2120" spans="11:11" x14ac:dyDescent="0.25">
      <c r="K2120"/>
    </row>
    <row r="2121" spans="11:11" x14ac:dyDescent="0.25">
      <c r="K2121"/>
    </row>
    <row r="2122" spans="11:11" x14ac:dyDescent="0.25">
      <c r="K2122"/>
    </row>
    <row r="2123" spans="11:11" x14ac:dyDescent="0.25">
      <c r="K2123"/>
    </row>
    <row r="2124" spans="11:11" x14ac:dyDescent="0.25">
      <c r="K2124"/>
    </row>
    <row r="2125" spans="11:11" x14ac:dyDescent="0.25">
      <c r="K2125"/>
    </row>
    <row r="2126" spans="11:11" x14ac:dyDescent="0.25">
      <c r="K2126"/>
    </row>
    <row r="2127" spans="11:11" x14ac:dyDescent="0.25">
      <c r="K2127"/>
    </row>
    <row r="2128" spans="11:11" x14ac:dyDescent="0.25">
      <c r="K2128"/>
    </row>
    <row r="2129" spans="11:11" x14ac:dyDescent="0.25">
      <c r="K2129"/>
    </row>
    <row r="2130" spans="11:11" x14ac:dyDescent="0.25">
      <c r="K2130"/>
    </row>
    <row r="2131" spans="11:11" x14ac:dyDescent="0.25">
      <c r="K2131"/>
    </row>
    <row r="2132" spans="11:11" x14ac:dyDescent="0.25">
      <c r="K2132"/>
    </row>
    <row r="2133" spans="11:11" x14ac:dyDescent="0.25">
      <c r="K2133"/>
    </row>
    <row r="2134" spans="11:11" x14ac:dyDescent="0.25">
      <c r="K2134"/>
    </row>
    <row r="2135" spans="11:11" x14ac:dyDescent="0.25">
      <c r="K2135"/>
    </row>
    <row r="2136" spans="11:11" x14ac:dyDescent="0.25">
      <c r="K2136"/>
    </row>
    <row r="2137" spans="11:11" x14ac:dyDescent="0.25">
      <c r="K2137"/>
    </row>
    <row r="2138" spans="11:11" x14ac:dyDescent="0.25">
      <c r="K2138"/>
    </row>
    <row r="2139" spans="11:11" x14ac:dyDescent="0.25">
      <c r="K2139"/>
    </row>
    <row r="2140" spans="11:11" x14ac:dyDescent="0.25">
      <c r="K2140"/>
    </row>
    <row r="2141" spans="11:11" x14ac:dyDescent="0.25">
      <c r="K2141"/>
    </row>
    <row r="2142" spans="11:11" x14ac:dyDescent="0.25">
      <c r="K2142"/>
    </row>
    <row r="2143" spans="11:11" x14ac:dyDescent="0.25">
      <c r="K2143"/>
    </row>
    <row r="2144" spans="11:11" x14ac:dyDescent="0.25">
      <c r="K2144"/>
    </row>
    <row r="2145" spans="11:11" x14ac:dyDescent="0.25">
      <c r="K2145"/>
    </row>
    <row r="2146" spans="11:11" x14ac:dyDescent="0.25">
      <c r="K2146"/>
    </row>
    <row r="2147" spans="11:11" x14ac:dyDescent="0.25">
      <c r="K2147"/>
    </row>
    <row r="2148" spans="11:11" x14ac:dyDescent="0.25">
      <c r="K2148"/>
    </row>
    <row r="2149" spans="11:11" x14ac:dyDescent="0.25">
      <c r="K2149"/>
    </row>
    <row r="2150" spans="11:11" x14ac:dyDescent="0.25">
      <c r="K2150"/>
    </row>
    <row r="2151" spans="11:11" x14ac:dyDescent="0.25">
      <c r="K2151"/>
    </row>
    <row r="2152" spans="11:11" x14ac:dyDescent="0.25">
      <c r="K2152"/>
    </row>
    <row r="2153" spans="11:11" x14ac:dyDescent="0.25">
      <c r="K2153"/>
    </row>
    <row r="2154" spans="11:11" x14ac:dyDescent="0.25">
      <c r="K2154"/>
    </row>
    <row r="2155" spans="11:11" x14ac:dyDescent="0.25">
      <c r="K2155"/>
    </row>
    <row r="2156" spans="11:11" x14ac:dyDescent="0.25">
      <c r="K2156"/>
    </row>
    <row r="2157" spans="11:11" x14ac:dyDescent="0.25">
      <c r="K2157"/>
    </row>
    <row r="2158" spans="11:11" x14ac:dyDescent="0.25">
      <c r="K2158"/>
    </row>
    <row r="2159" spans="11:11" x14ac:dyDescent="0.25">
      <c r="K2159"/>
    </row>
    <row r="2160" spans="11:11" x14ac:dyDescent="0.25">
      <c r="K2160"/>
    </row>
    <row r="2161" spans="11:11" x14ac:dyDescent="0.25">
      <c r="K2161"/>
    </row>
    <row r="2162" spans="11:11" x14ac:dyDescent="0.25">
      <c r="K2162"/>
    </row>
    <row r="2163" spans="11:11" x14ac:dyDescent="0.25">
      <c r="K2163"/>
    </row>
    <row r="2164" spans="11:11" x14ac:dyDescent="0.25">
      <c r="K2164"/>
    </row>
    <row r="2165" spans="11:11" x14ac:dyDescent="0.25">
      <c r="K2165"/>
    </row>
    <row r="2166" spans="11:11" x14ac:dyDescent="0.25">
      <c r="K2166"/>
    </row>
    <row r="2167" spans="11:11" x14ac:dyDescent="0.25">
      <c r="K2167"/>
    </row>
    <row r="2168" spans="11:11" x14ac:dyDescent="0.25">
      <c r="K2168"/>
    </row>
    <row r="2169" spans="11:11" x14ac:dyDescent="0.25">
      <c r="K2169"/>
    </row>
    <row r="2170" spans="11:11" x14ac:dyDescent="0.25">
      <c r="K2170"/>
    </row>
    <row r="2171" spans="11:11" x14ac:dyDescent="0.25">
      <c r="K2171"/>
    </row>
    <row r="2172" spans="11:11" x14ac:dyDescent="0.25">
      <c r="K2172"/>
    </row>
    <row r="2173" spans="11:11" x14ac:dyDescent="0.25">
      <c r="K2173"/>
    </row>
    <row r="2174" spans="11:11" x14ac:dyDescent="0.25">
      <c r="K2174"/>
    </row>
    <row r="2175" spans="11:11" x14ac:dyDescent="0.25">
      <c r="K2175"/>
    </row>
    <row r="2176" spans="11:11" x14ac:dyDescent="0.25">
      <c r="K2176"/>
    </row>
    <row r="2177" spans="11:11" x14ac:dyDescent="0.25">
      <c r="K2177"/>
    </row>
    <row r="2178" spans="11:11" x14ac:dyDescent="0.25">
      <c r="K2178"/>
    </row>
    <row r="2179" spans="11:11" x14ac:dyDescent="0.25">
      <c r="K2179"/>
    </row>
    <row r="2180" spans="11:11" x14ac:dyDescent="0.25">
      <c r="K2180"/>
    </row>
    <row r="2181" spans="11:11" x14ac:dyDescent="0.25">
      <c r="K2181"/>
    </row>
    <row r="2182" spans="11:11" x14ac:dyDescent="0.25">
      <c r="K2182"/>
    </row>
    <row r="2183" spans="11:11" x14ac:dyDescent="0.25">
      <c r="K2183"/>
    </row>
    <row r="2184" spans="11:11" x14ac:dyDescent="0.25">
      <c r="K2184"/>
    </row>
    <row r="2185" spans="11:11" x14ac:dyDescent="0.25">
      <c r="K2185"/>
    </row>
    <row r="2186" spans="11:11" x14ac:dyDescent="0.25">
      <c r="K2186"/>
    </row>
    <row r="2187" spans="11:11" x14ac:dyDescent="0.25">
      <c r="K2187"/>
    </row>
    <row r="2188" spans="11:11" x14ac:dyDescent="0.25">
      <c r="K2188"/>
    </row>
    <row r="2189" spans="11:11" x14ac:dyDescent="0.25">
      <c r="K2189"/>
    </row>
    <row r="2190" spans="11:11" x14ac:dyDescent="0.25">
      <c r="K2190"/>
    </row>
    <row r="2191" spans="11:11" x14ac:dyDescent="0.25">
      <c r="K2191"/>
    </row>
    <row r="2192" spans="11:11" x14ac:dyDescent="0.25">
      <c r="K2192"/>
    </row>
    <row r="2193" spans="11:11" x14ac:dyDescent="0.25">
      <c r="K2193"/>
    </row>
    <row r="2194" spans="11:11" x14ac:dyDescent="0.25">
      <c r="K2194"/>
    </row>
    <row r="2195" spans="11:11" x14ac:dyDescent="0.25">
      <c r="K2195"/>
    </row>
    <row r="2196" spans="11:11" x14ac:dyDescent="0.25">
      <c r="K2196"/>
    </row>
    <row r="2197" spans="11:11" x14ac:dyDescent="0.25">
      <c r="K2197"/>
    </row>
    <row r="2198" spans="11:11" x14ac:dyDescent="0.25">
      <c r="K2198"/>
    </row>
    <row r="2199" spans="11:11" x14ac:dyDescent="0.25">
      <c r="K2199"/>
    </row>
    <row r="2200" spans="11:11" x14ac:dyDescent="0.25">
      <c r="K2200"/>
    </row>
    <row r="2201" spans="11:11" x14ac:dyDescent="0.25">
      <c r="K2201"/>
    </row>
    <row r="2202" spans="11:11" x14ac:dyDescent="0.25">
      <c r="K2202"/>
    </row>
    <row r="2203" spans="11:11" x14ac:dyDescent="0.25">
      <c r="K2203"/>
    </row>
    <row r="2204" spans="11:11" x14ac:dyDescent="0.25">
      <c r="K2204"/>
    </row>
    <row r="2205" spans="11:11" x14ac:dyDescent="0.25">
      <c r="K2205"/>
    </row>
    <row r="2206" spans="11:11" x14ac:dyDescent="0.25">
      <c r="K2206"/>
    </row>
    <row r="2207" spans="11:11" x14ac:dyDescent="0.25">
      <c r="K2207"/>
    </row>
    <row r="2208" spans="11:11" x14ac:dyDescent="0.25">
      <c r="K2208"/>
    </row>
    <row r="2209" spans="11:11" x14ac:dyDescent="0.25">
      <c r="K2209"/>
    </row>
    <row r="2210" spans="11:11" x14ac:dyDescent="0.25">
      <c r="K2210"/>
    </row>
    <row r="2211" spans="11:11" x14ac:dyDescent="0.25">
      <c r="K2211"/>
    </row>
    <row r="2212" spans="11:11" x14ac:dyDescent="0.25">
      <c r="K2212"/>
    </row>
    <row r="2213" spans="11:11" x14ac:dyDescent="0.25">
      <c r="K2213"/>
    </row>
    <row r="2214" spans="11:11" x14ac:dyDescent="0.25">
      <c r="K2214"/>
    </row>
    <row r="2215" spans="11:11" x14ac:dyDescent="0.25">
      <c r="K2215"/>
    </row>
    <row r="2216" spans="11:11" x14ac:dyDescent="0.25">
      <c r="K2216"/>
    </row>
    <row r="2217" spans="11:11" x14ac:dyDescent="0.25">
      <c r="K2217"/>
    </row>
    <row r="2218" spans="11:11" x14ac:dyDescent="0.25">
      <c r="K2218"/>
    </row>
    <row r="2219" spans="11:11" x14ac:dyDescent="0.25">
      <c r="K2219"/>
    </row>
    <row r="2220" spans="11:11" x14ac:dyDescent="0.25">
      <c r="K2220"/>
    </row>
    <row r="2221" spans="11:11" x14ac:dyDescent="0.25">
      <c r="K2221"/>
    </row>
    <row r="2222" spans="11:11" x14ac:dyDescent="0.25">
      <c r="K2222"/>
    </row>
    <row r="2223" spans="11:11" x14ac:dyDescent="0.25">
      <c r="K2223"/>
    </row>
    <row r="2224" spans="11:11" x14ac:dyDescent="0.25">
      <c r="K2224"/>
    </row>
    <row r="2225" spans="11:11" x14ac:dyDescent="0.25">
      <c r="K2225"/>
    </row>
    <row r="2226" spans="11:11" x14ac:dyDescent="0.25">
      <c r="K2226"/>
    </row>
    <row r="2227" spans="11:11" x14ac:dyDescent="0.25">
      <c r="K2227"/>
    </row>
    <row r="2228" spans="11:11" x14ac:dyDescent="0.25">
      <c r="K2228"/>
    </row>
    <row r="2229" spans="11:11" x14ac:dyDescent="0.25">
      <c r="K2229"/>
    </row>
    <row r="2230" spans="11:11" x14ac:dyDescent="0.25">
      <c r="K2230"/>
    </row>
    <row r="2231" spans="11:11" x14ac:dyDescent="0.25">
      <c r="K2231"/>
    </row>
    <row r="2232" spans="11:11" x14ac:dyDescent="0.25">
      <c r="K2232"/>
    </row>
    <row r="2233" spans="11:11" x14ac:dyDescent="0.25">
      <c r="K2233"/>
    </row>
    <row r="2234" spans="11:11" x14ac:dyDescent="0.25">
      <c r="K2234"/>
    </row>
    <row r="2235" spans="11:11" x14ac:dyDescent="0.25">
      <c r="K2235"/>
    </row>
    <row r="2236" spans="11:11" x14ac:dyDescent="0.25">
      <c r="K2236"/>
    </row>
    <row r="2237" spans="11:11" x14ac:dyDescent="0.25">
      <c r="K2237"/>
    </row>
    <row r="2238" spans="11:11" x14ac:dyDescent="0.25">
      <c r="K2238"/>
    </row>
    <row r="2239" spans="11:11" x14ac:dyDescent="0.25">
      <c r="K2239"/>
    </row>
    <row r="2240" spans="11:11" x14ac:dyDescent="0.25">
      <c r="K2240"/>
    </row>
    <row r="2241" spans="11:11" x14ac:dyDescent="0.25">
      <c r="K2241"/>
    </row>
    <row r="2242" spans="11:11" x14ac:dyDescent="0.25">
      <c r="K2242"/>
    </row>
    <row r="2243" spans="11:11" x14ac:dyDescent="0.25">
      <c r="K2243"/>
    </row>
    <row r="2244" spans="11:11" x14ac:dyDescent="0.25">
      <c r="K2244"/>
    </row>
    <row r="2245" spans="11:11" x14ac:dyDescent="0.25">
      <c r="K2245"/>
    </row>
    <row r="2246" spans="11:11" x14ac:dyDescent="0.25">
      <c r="K2246"/>
    </row>
    <row r="2247" spans="11:11" x14ac:dyDescent="0.25">
      <c r="K2247"/>
    </row>
    <row r="2248" spans="11:11" x14ac:dyDescent="0.25">
      <c r="K2248"/>
    </row>
    <row r="2249" spans="11:11" x14ac:dyDescent="0.25">
      <c r="K2249"/>
    </row>
    <row r="2250" spans="11:11" x14ac:dyDescent="0.25">
      <c r="K2250"/>
    </row>
    <row r="2251" spans="11:11" x14ac:dyDescent="0.25">
      <c r="K2251"/>
    </row>
    <row r="2252" spans="11:11" x14ac:dyDescent="0.25">
      <c r="K2252"/>
    </row>
  </sheetData>
  <mergeCells count="2">
    <mergeCell ref="I1:J1"/>
    <mergeCell ref="G1:H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D31DD-AF39-4589-925B-80E9C14D7BDB}">
  <dimension ref="A1:B238"/>
  <sheetViews>
    <sheetView zoomScaleNormal="100" workbookViewId="0">
      <pane ySplit="4" topLeftCell="A5" activePane="bottomLeft" state="frozen"/>
      <selection pane="bottomLeft" activeCell="A5" sqref="A5"/>
    </sheetView>
  </sheetViews>
  <sheetFormatPr defaultRowHeight="14.25" x14ac:dyDescent="0.2"/>
  <cols>
    <col min="1" max="2" width="24.7109375" style="39" customWidth="1"/>
  </cols>
  <sheetData>
    <row r="1" spans="1:2" x14ac:dyDescent="0.2">
      <c r="A1" s="38" t="s">
        <v>26</v>
      </c>
    </row>
    <row r="3" spans="1:2" s="7" customFormat="1" x14ac:dyDescent="0.2">
      <c r="A3" s="40" t="s">
        <v>24</v>
      </c>
      <c r="B3" s="40" t="s">
        <v>27</v>
      </c>
    </row>
    <row r="4" spans="1:2" s="7" customFormat="1" x14ac:dyDescent="0.2">
      <c r="A4" s="41" t="s">
        <v>22</v>
      </c>
      <c r="B4" s="41" t="s">
        <v>23</v>
      </c>
    </row>
    <row r="5" spans="1:2" s="7" customFormat="1" x14ac:dyDescent="0.25">
      <c r="A5" s="42">
        <v>0</v>
      </c>
      <c r="B5" s="42">
        <v>0</v>
      </c>
    </row>
    <row r="6" spans="1:2" s="7" customFormat="1" x14ac:dyDescent="0.25">
      <c r="A6" s="42">
        <v>0.10714285714285712</v>
      </c>
      <c r="B6" s="42">
        <v>25.871524840873956</v>
      </c>
    </row>
    <row r="7" spans="1:2" s="7" customFormat="1" x14ac:dyDescent="0.25">
      <c r="A7" s="42">
        <v>0.19999999999999996</v>
      </c>
      <c r="B7" s="42">
        <v>49.8880044324804</v>
      </c>
    </row>
    <row r="8" spans="1:2" s="7" customFormat="1" x14ac:dyDescent="0.25">
      <c r="A8" s="42">
        <v>0.30714285714285711</v>
      </c>
      <c r="B8" s="42">
        <v>60.783863524174059</v>
      </c>
    </row>
    <row r="9" spans="1:2" x14ac:dyDescent="0.25">
      <c r="A9" s="42">
        <v>0.4</v>
      </c>
      <c r="B9" s="42">
        <v>70.082690843145102</v>
      </c>
    </row>
    <row r="10" spans="1:2" x14ac:dyDescent="0.25">
      <c r="A10" s="42">
        <v>0.50000000000000011</v>
      </c>
      <c r="B10" s="42">
        <v>77.237229587300476</v>
      </c>
    </row>
    <row r="11" spans="1:2" x14ac:dyDescent="0.25">
      <c r="A11" s="42">
        <v>0.60000000000000009</v>
      </c>
      <c r="B11" s="42">
        <v>84.231185627477686</v>
      </c>
    </row>
    <row r="12" spans="1:2" x14ac:dyDescent="0.25">
      <c r="A12" s="42">
        <v>0.70000000000000007</v>
      </c>
      <c r="B12" s="42">
        <v>89.99485757658401</v>
      </c>
    </row>
    <row r="13" spans="1:2" x14ac:dyDescent="0.25">
      <c r="A13" s="42">
        <v>0.8</v>
      </c>
      <c r="B13" s="42">
        <v>95.843953158021122</v>
      </c>
    </row>
    <row r="14" spans="1:2" x14ac:dyDescent="0.25">
      <c r="A14" s="42">
        <v>0.89999999999999991</v>
      </c>
      <c r="B14" s="42">
        <v>100.80728128782607</v>
      </c>
    </row>
    <row r="15" spans="1:2" x14ac:dyDescent="0.25">
      <c r="A15" s="42">
        <v>1</v>
      </c>
      <c r="B15" s="42">
        <v>105.93014845952681</v>
      </c>
    </row>
    <row r="16" spans="1:2" x14ac:dyDescent="0.25">
      <c r="A16" s="42">
        <v>1.1071428571428572</v>
      </c>
      <c r="B16" s="42">
        <v>110.45221240026761</v>
      </c>
    </row>
    <row r="17" spans="1:2" x14ac:dyDescent="0.25">
      <c r="A17" s="42">
        <v>1.2000000000000002</v>
      </c>
      <c r="B17" s="42">
        <v>115.07951073606162</v>
      </c>
    </row>
    <row r="18" spans="1:2" x14ac:dyDescent="0.25">
      <c r="A18" s="42">
        <v>1.3071428571428572</v>
      </c>
      <c r="B18" s="42">
        <v>119.26783111395926</v>
      </c>
    </row>
    <row r="19" spans="1:2" x14ac:dyDescent="0.25">
      <c r="A19" s="42">
        <v>1.4000000000000001</v>
      </c>
      <c r="B19" s="42">
        <v>123.63557691246326</v>
      </c>
    </row>
    <row r="20" spans="1:2" x14ac:dyDescent="0.25">
      <c r="A20" s="42">
        <v>1.5000000000000002</v>
      </c>
      <c r="B20" s="42">
        <v>127.45394118143032</v>
      </c>
    </row>
    <row r="21" spans="1:2" x14ac:dyDescent="0.25">
      <c r="A21" s="42">
        <v>1.6</v>
      </c>
      <c r="B21" s="42">
        <v>131.36071721226119</v>
      </c>
    </row>
    <row r="22" spans="1:2" x14ac:dyDescent="0.25">
      <c r="A22" s="42">
        <v>1.6999999999999997</v>
      </c>
      <c r="B22" s="42">
        <v>135.47599352217242</v>
      </c>
    </row>
    <row r="23" spans="1:2" x14ac:dyDescent="0.25">
      <c r="A23" s="42">
        <v>1.7999999999999998</v>
      </c>
      <c r="B23" s="42">
        <v>139.10160099363239</v>
      </c>
    </row>
    <row r="24" spans="1:2" x14ac:dyDescent="0.25">
      <c r="A24" s="42">
        <v>1.9</v>
      </c>
      <c r="B24" s="42">
        <v>143.10399921975804</v>
      </c>
    </row>
    <row r="25" spans="1:2" x14ac:dyDescent="0.25">
      <c r="A25" s="42">
        <v>2</v>
      </c>
      <c r="B25" s="42">
        <v>146.73791930357504</v>
      </c>
    </row>
    <row r="26" spans="1:2" x14ac:dyDescent="0.25">
      <c r="A26" s="42">
        <v>2.1</v>
      </c>
      <c r="B26" s="42">
        <v>150.65188332520984</v>
      </c>
    </row>
    <row r="27" spans="1:2" x14ac:dyDescent="0.25">
      <c r="A27" s="42">
        <v>2.2000000000000002</v>
      </c>
      <c r="B27" s="42">
        <v>154.22220496967114</v>
      </c>
    </row>
    <row r="28" spans="1:2" x14ac:dyDescent="0.25">
      <c r="A28" s="42">
        <v>2.3071428571428574</v>
      </c>
      <c r="B28" s="42">
        <v>158.13140848104413</v>
      </c>
    </row>
    <row r="29" spans="1:2" x14ac:dyDescent="0.25">
      <c r="A29" s="42">
        <v>2.4</v>
      </c>
      <c r="B29" s="42">
        <v>162.0811035756837</v>
      </c>
    </row>
    <row r="30" spans="1:2" x14ac:dyDescent="0.25">
      <c r="A30" s="42">
        <v>2.5</v>
      </c>
      <c r="B30" s="42">
        <v>165.55622350403164</v>
      </c>
    </row>
    <row r="31" spans="1:2" x14ac:dyDescent="0.25">
      <c r="A31" s="42">
        <v>2.6071428571428577</v>
      </c>
      <c r="B31" s="42">
        <v>169.41612507479326</v>
      </c>
    </row>
    <row r="32" spans="1:2" x14ac:dyDescent="0.25">
      <c r="A32" s="42">
        <v>2.7</v>
      </c>
      <c r="B32" s="42">
        <v>173.31820794361707</v>
      </c>
    </row>
    <row r="33" spans="1:2" x14ac:dyDescent="0.25">
      <c r="A33" s="42">
        <v>2.8000000000000003</v>
      </c>
      <c r="B33" s="42">
        <v>176.8653389453759</v>
      </c>
    </row>
    <row r="34" spans="1:2" x14ac:dyDescent="0.25">
      <c r="A34" s="42">
        <v>2.9000000000000004</v>
      </c>
      <c r="B34" s="42">
        <v>180.73777669951824</v>
      </c>
    </row>
    <row r="35" spans="1:2" x14ac:dyDescent="0.25">
      <c r="A35" s="42">
        <v>3.0000000000000004</v>
      </c>
      <c r="B35" s="42">
        <v>184.7444278731208</v>
      </c>
    </row>
    <row r="36" spans="1:2" x14ac:dyDescent="0.25">
      <c r="A36" s="42">
        <v>3.1071428571428568</v>
      </c>
      <c r="B36" s="42">
        <v>188.58526366010949</v>
      </c>
    </row>
    <row r="37" spans="1:2" x14ac:dyDescent="0.25">
      <c r="A37" s="42">
        <v>3.2</v>
      </c>
      <c r="B37" s="42">
        <v>192.56587965882466</v>
      </c>
    </row>
    <row r="38" spans="1:2" x14ac:dyDescent="0.25">
      <c r="A38" s="42">
        <v>3.3000000000000003</v>
      </c>
      <c r="B38" s="42">
        <v>196.19154636720458</v>
      </c>
    </row>
    <row r="39" spans="1:2" x14ac:dyDescent="0.25">
      <c r="A39" s="42">
        <v>3.3999999999999995</v>
      </c>
      <c r="B39" s="42">
        <v>200.14056039876616</v>
      </c>
    </row>
    <row r="40" spans="1:2" x14ac:dyDescent="0.25">
      <c r="A40" s="42">
        <v>3.5000000000000004</v>
      </c>
      <c r="B40" s="42">
        <v>204.2228081351868</v>
      </c>
    </row>
    <row r="41" spans="1:2" x14ac:dyDescent="0.25">
      <c r="A41" s="42">
        <v>3.5999999999999996</v>
      </c>
      <c r="B41" s="42">
        <v>207.8711817796827</v>
      </c>
    </row>
    <row r="42" spans="1:2" x14ac:dyDescent="0.25">
      <c r="A42" s="42">
        <v>3.6999999999999997</v>
      </c>
      <c r="B42" s="42">
        <v>211.93612259164451</v>
      </c>
    </row>
    <row r="43" spans="1:2" x14ac:dyDescent="0.25">
      <c r="A43" s="42">
        <v>3.8071428571428569</v>
      </c>
      <c r="B43" s="42">
        <v>215.97528398182428</v>
      </c>
    </row>
    <row r="44" spans="1:2" x14ac:dyDescent="0.25">
      <c r="A44" s="42">
        <v>3.9</v>
      </c>
      <c r="B44" s="42">
        <v>220.08645780810187</v>
      </c>
    </row>
    <row r="45" spans="1:2" x14ac:dyDescent="0.25">
      <c r="A45" s="42">
        <v>4</v>
      </c>
      <c r="B45" s="42">
        <v>223.77203068393271</v>
      </c>
    </row>
    <row r="46" spans="1:2" x14ac:dyDescent="0.25">
      <c r="A46" s="42">
        <v>4.1000000000000005</v>
      </c>
      <c r="B46" s="42">
        <v>227.9192375988751</v>
      </c>
    </row>
    <row r="47" spans="1:2" x14ac:dyDescent="0.25">
      <c r="A47" s="42">
        <v>4.2</v>
      </c>
      <c r="B47" s="42">
        <v>231.68189905205259</v>
      </c>
    </row>
    <row r="48" spans="1:2" x14ac:dyDescent="0.25">
      <c r="A48" s="42">
        <v>4.3000000000000007</v>
      </c>
      <c r="B48" s="42">
        <v>235.74094118401942</v>
      </c>
    </row>
    <row r="49" spans="1:2" x14ac:dyDescent="0.25">
      <c r="A49" s="42">
        <v>4.4000000000000004</v>
      </c>
      <c r="B49" s="42">
        <v>239.4631989410197</v>
      </c>
    </row>
    <row r="50" spans="1:2" x14ac:dyDescent="0.25">
      <c r="A50" s="42">
        <v>4.5071428571428571</v>
      </c>
      <c r="B50" s="42">
        <v>243.62590746797946</v>
      </c>
    </row>
    <row r="51" spans="1:2" x14ac:dyDescent="0.25">
      <c r="A51" s="42">
        <v>4.6000000000000005</v>
      </c>
      <c r="B51" s="42">
        <v>247.81750397660403</v>
      </c>
    </row>
    <row r="52" spans="1:2" x14ac:dyDescent="0.25">
      <c r="A52" s="42">
        <v>4.7071428571428573</v>
      </c>
      <c r="B52" s="42">
        <v>251.72762254999955</v>
      </c>
    </row>
    <row r="53" spans="1:2" x14ac:dyDescent="0.25">
      <c r="A53" s="42">
        <v>4.8</v>
      </c>
      <c r="B53" s="42">
        <v>255.66840172669617</v>
      </c>
    </row>
    <row r="54" spans="1:2" x14ac:dyDescent="0.25">
      <c r="A54" s="42">
        <v>4.9000000000000004</v>
      </c>
      <c r="B54" s="42">
        <v>259.58068671191046</v>
      </c>
    </row>
    <row r="55" spans="1:2" x14ac:dyDescent="0.25">
      <c r="A55" s="42">
        <v>5</v>
      </c>
      <c r="B55" s="42">
        <v>263.71687798830561</v>
      </c>
    </row>
    <row r="56" spans="1:2" x14ac:dyDescent="0.25">
      <c r="A56" s="42">
        <v>5.0999999999999996</v>
      </c>
      <c r="B56" s="42">
        <v>267.37892890267528</v>
      </c>
    </row>
    <row r="57" spans="1:2" x14ac:dyDescent="0.25">
      <c r="A57" s="42">
        <v>5.2</v>
      </c>
      <c r="B57" s="42">
        <v>271.49707846866085</v>
      </c>
    </row>
    <row r="58" spans="1:2" x14ac:dyDescent="0.25">
      <c r="A58" s="42">
        <v>5.3</v>
      </c>
      <c r="B58" s="42">
        <v>275.60596225079132</v>
      </c>
    </row>
    <row r="59" spans="1:2" x14ac:dyDescent="0.25">
      <c r="A59" s="42">
        <v>5.4</v>
      </c>
      <c r="B59" s="42">
        <v>279.24217524279783</v>
      </c>
    </row>
    <row r="60" spans="1:2" x14ac:dyDescent="0.25">
      <c r="A60" s="42">
        <v>5.4999999999999991</v>
      </c>
      <c r="B60" s="42">
        <v>283.33301731451877</v>
      </c>
    </row>
    <row r="61" spans="1:2" x14ac:dyDescent="0.25">
      <c r="A61" s="42">
        <v>5.6000000000000005</v>
      </c>
      <c r="B61" s="42">
        <v>287.18338095655065</v>
      </c>
    </row>
    <row r="62" spans="1:2" x14ac:dyDescent="0.25">
      <c r="A62" s="42">
        <v>5.7071428571428573</v>
      </c>
      <c r="B62" s="42">
        <v>291.2330462032516</v>
      </c>
    </row>
    <row r="63" spans="1:2" x14ac:dyDescent="0.25">
      <c r="A63" s="42">
        <v>5.8</v>
      </c>
      <c r="B63" s="42">
        <v>295.08850324948423</v>
      </c>
    </row>
    <row r="64" spans="1:2" x14ac:dyDescent="0.25">
      <c r="A64" s="42">
        <v>5.8999999999999995</v>
      </c>
      <c r="B64" s="42">
        <v>298.68181632331886</v>
      </c>
    </row>
    <row r="65" spans="1:2" x14ac:dyDescent="0.25">
      <c r="A65" s="42">
        <v>6.0000000000000009</v>
      </c>
      <c r="B65" s="42">
        <v>302.49707625913248</v>
      </c>
    </row>
    <row r="66" spans="1:2" x14ac:dyDescent="0.25">
      <c r="A66" s="42">
        <v>6.1000000000000005</v>
      </c>
      <c r="B66" s="42">
        <v>306.30356026839161</v>
      </c>
    </row>
    <row r="67" spans="1:2" x14ac:dyDescent="0.25">
      <c r="A67" s="42">
        <v>6.2</v>
      </c>
      <c r="B67" s="42">
        <v>310.10126835109611</v>
      </c>
    </row>
    <row r="68" spans="1:2" x14ac:dyDescent="0.25">
      <c r="A68" s="42">
        <v>6.3</v>
      </c>
      <c r="B68" s="42">
        <v>314.11969865252837</v>
      </c>
    </row>
    <row r="69" spans="1:2" x14ac:dyDescent="0.25">
      <c r="A69" s="42">
        <v>6.4</v>
      </c>
      <c r="B69" s="42">
        <v>317.67035673684148</v>
      </c>
    </row>
    <row r="70" spans="1:2" x14ac:dyDescent="0.25">
      <c r="A70" s="42">
        <v>6.5</v>
      </c>
      <c r="B70" s="42">
        <v>320.98372046391887</v>
      </c>
    </row>
    <row r="71" spans="1:2" x14ac:dyDescent="0.25">
      <c r="A71" s="42">
        <v>6.6000000000000005</v>
      </c>
      <c r="B71" s="42">
        <v>324.51805133837405</v>
      </c>
    </row>
    <row r="72" spans="1:2" x14ac:dyDescent="0.25">
      <c r="A72" s="42">
        <v>6.7</v>
      </c>
      <c r="B72" s="42">
        <v>328.27261457425664</v>
      </c>
    </row>
    <row r="73" spans="1:2" x14ac:dyDescent="0.25">
      <c r="A73" s="42">
        <v>6.7999999999999989</v>
      </c>
      <c r="B73" s="42">
        <v>331.56185487952246</v>
      </c>
    </row>
    <row r="74" spans="1:2" x14ac:dyDescent="0.25">
      <c r="A74" s="42">
        <v>6.8428571428571434</v>
      </c>
      <c r="B74" s="42">
        <v>335.055254998713</v>
      </c>
    </row>
    <row r="75" spans="1:2" x14ac:dyDescent="0.25">
      <c r="A75" s="42">
        <v>6.9857142857142858</v>
      </c>
      <c r="B75" s="42">
        <v>338.17048849775625</v>
      </c>
    </row>
    <row r="76" spans="1:2" x14ac:dyDescent="0.25">
      <c r="A76" s="42">
        <v>7.0571428571428578</v>
      </c>
      <c r="B76" s="42">
        <v>341.77273140385205</v>
      </c>
    </row>
    <row r="77" spans="1:2" x14ac:dyDescent="0.25">
      <c r="A77" s="42">
        <v>7.1999999999999993</v>
      </c>
      <c r="B77" s="42">
        <v>344.86814776848041</v>
      </c>
    </row>
    <row r="78" spans="1:2" x14ac:dyDescent="0.25">
      <c r="A78" s="42">
        <v>7.2714285714285714</v>
      </c>
      <c r="B78" s="42">
        <v>348.00152080661132</v>
      </c>
    </row>
    <row r="79" spans="1:2" x14ac:dyDescent="0.25">
      <c r="A79" s="42">
        <v>7.3428571428571425</v>
      </c>
      <c r="B79" s="42">
        <v>351.35661043896994</v>
      </c>
    </row>
    <row r="80" spans="1:2" x14ac:dyDescent="0.25">
      <c r="A80" s="42">
        <v>7.4857142857142858</v>
      </c>
      <c r="B80" s="42">
        <v>354.42455426349625</v>
      </c>
    </row>
    <row r="81" spans="1:2" x14ac:dyDescent="0.25">
      <c r="A81" s="42">
        <v>7.5571428571428569</v>
      </c>
      <c r="B81" s="42">
        <v>357.53929245857114</v>
      </c>
    </row>
    <row r="82" spans="1:2" x14ac:dyDescent="0.25">
      <c r="A82" s="42">
        <v>7.7</v>
      </c>
      <c r="B82" s="42">
        <v>360.36204980064718</v>
      </c>
    </row>
    <row r="83" spans="1:2" x14ac:dyDescent="0.25">
      <c r="A83" s="42">
        <v>7.7714285714285722</v>
      </c>
      <c r="B83" s="42">
        <v>363.46373034586878</v>
      </c>
    </row>
    <row r="84" spans="1:2" x14ac:dyDescent="0.25">
      <c r="A84" s="42">
        <v>7.8428571428571434</v>
      </c>
      <c r="B84" s="42">
        <v>366.56018359595964</v>
      </c>
    </row>
    <row r="85" spans="1:2" x14ac:dyDescent="0.25">
      <c r="A85" s="42">
        <v>7.9857142857142849</v>
      </c>
      <c r="B85" s="42">
        <v>368.90612929415033</v>
      </c>
    </row>
    <row r="86" spans="1:2" x14ac:dyDescent="0.25">
      <c r="A86" s="42">
        <v>8.0571428571428569</v>
      </c>
      <c r="B86" s="42">
        <v>371.76468039346014</v>
      </c>
    </row>
    <row r="87" spans="1:2" x14ac:dyDescent="0.25">
      <c r="A87" s="42">
        <v>8.2000000000000011</v>
      </c>
      <c r="B87" s="42">
        <v>374.31932738791704</v>
      </c>
    </row>
    <row r="88" spans="1:2" x14ac:dyDescent="0.25">
      <c r="A88" s="42">
        <v>8.2714285714285705</v>
      </c>
      <c r="B88" s="42">
        <v>377.16569558255276</v>
      </c>
    </row>
    <row r="89" spans="1:2" x14ac:dyDescent="0.25">
      <c r="A89" s="42">
        <v>8.3428571428571416</v>
      </c>
      <c r="B89" s="42">
        <v>379.7826917772739</v>
      </c>
    </row>
    <row r="90" spans="1:2" x14ac:dyDescent="0.25">
      <c r="A90" s="42">
        <v>8.4857142857142875</v>
      </c>
      <c r="B90" s="42">
        <v>382.08922050756274</v>
      </c>
    </row>
    <row r="91" spans="1:2" x14ac:dyDescent="0.25">
      <c r="A91" s="42">
        <v>8.5571428571428569</v>
      </c>
      <c r="B91" s="42">
        <v>384.69490854278916</v>
      </c>
    </row>
    <row r="92" spans="1:2" x14ac:dyDescent="0.25">
      <c r="A92" s="42">
        <v>8.6999999999999993</v>
      </c>
      <c r="B92" s="42">
        <v>386.76202410881223</v>
      </c>
    </row>
    <row r="93" spans="1:2" x14ac:dyDescent="0.25">
      <c r="A93" s="42">
        <v>8.7714285714285705</v>
      </c>
      <c r="B93" s="42">
        <v>388.90968911629898</v>
      </c>
    </row>
    <row r="94" spans="1:2" x14ac:dyDescent="0.25">
      <c r="A94" s="42">
        <v>8.8428571428571434</v>
      </c>
      <c r="B94" s="42">
        <v>391.50006634015148</v>
      </c>
    </row>
    <row r="95" spans="1:2" x14ac:dyDescent="0.25">
      <c r="A95" s="42">
        <v>8.9857142857142858</v>
      </c>
      <c r="B95" s="42">
        <v>393.32343736790369</v>
      </c>
    </row>
    <row r="96" spans="1:2" x14ac:dyDescent="0.25">
      <c r="A96" s="42">
        <v>9.0571428571428569</v>
      </c>
      <c r="B96" s="42">
        <v>395.45736610533947</v>
      </c>
    </row>
    <row r="97" spans="1:2" x14ac:dyDescent="0.25">
      <c r="A97" s="42">
        <v>9.2000000000000011</v>
      </c>
      <c r="B97" s="42">
        <v>397.2673931130048</v>
      </c>
    </row>
    <row r="98" spans="1:2" x14ac:dyDescent="0.25">
      <c r="A98" s="42">
        <v>9.2714285714285722</v>
      </c>
      <c r="B98" s="42">
        <v>399.39176318130484</v>
      </c>
    </row>
    <row r="99" spans="1:2" x14ac:dyDescent="0.25">
      <c r="A99" s="42">
        <v>9.3428571428571434</v>
      </c>
      <c r="B99" s="42">
        <v>401.51230554676147</v>
      </c>
    </row>
    <row r="100" spans="1:2" x14ac:dyDescent="0.25">
      <c r="A100" s="42">
        <v>9.485714285714284</v>
      </c>
      <c r="B100" s="42">
        <v>403.30325756804746</v>
      </c>
    </row>
    <row r="101" spans="1:2" x14ac:dyDescent="0.25">
      <c r="A101" s="42">
        <v>9.5571428571428569</v>
      </c>
      <c r="B101" s="42">
        <v>405.41424126436834</v>
      </c>
    </row>
    <row r="102" spans="1:2" x14ac:dyDescent="0.25">
      <c r="A102" s="42">
        <v>9.7000000000000011</v>
      </c>
      <c r="B102" s="42">
        <v>406.7495081232197</v>
      </c>
    </row>
    <row r="103" spans="1:2" x14ac:dyDescent="0.25">
      <c r="A103" s="42">
        <v>9.7714285714285705</v>
      </c>
      <c r="B103" s="42">
        <v>408.85128304847672</v>
      </c>
    </row>
    <row r="104" spans="1:2" x14ac:dyDescent="0.25">
      <c r="A104" s="42">
        <v>9.8428571428571416</v>
      </c>
      <c r="B104" s="42">
        <v>410.72840959778824</v>
      </c>
    </row>
    <row r="105" spans="1:2" x14ac:dyDescent="0.25">
      <c r="A105" s="42">
        <v>9.9857142857142875</v>
      </c>
      <c r="B105" s="42">
        <v>412.26752153179297</v>
      </c>
    </row>
    <row r="106" spans="1:2" x14ac:dyDescent="0.25">
      <c r="A106" s="42">
        <v>10.057142857142857</v>
      </c>
      <c r="B106" s="42">
        <v>414.13596415714824</v>
      </c>
    </row>
    <row r="107" spans="1:2" x14ac:dyDescent="0.25">
      <c r="A107" s="42">
        <v>10.199999999999999</v>
      </c>
      <c r="B107" s="42">
        <v>415.44301078639472</v>
      </c>
    </row>
    <row r="108" spans="1:2" x14ac:dyDescent="0.25">
      <c r="A108" s="42">
        <v>10.271428571428572</v>
      </c>
      <c r="B108" s="42">
        <v>417.52271541571628</v>
      </c>
    </row>
    <row r="109" spans="1:2" x14ac:dyDescent="0.25">
      <c r="A109" s="42">
        <v>10.342857142857142</v>
      </c>
      <c r="B109" s="42">
        <v>419.15940028249258</v>
      </c>
    </row>
    <row r="110" spans="1:2" x14ac:dyDescent="0.25">
      <c r="A110" s="42">
        <v>10.485714285714286</v>
      </c>
      <c r="B110" s="42">
        <v>420.45017110993427</v>
      </c>
    </row>
    <row r="111" spans="1:2" x14ac:dyDescent="0.25">
      <c r="A111" s="42">
        <v>10.557142857142857</v>
      </c>
      <c r="B111" s="42">
        <v>422.07904679793387</v>
      </c>
    </row>
    <row r="112" spans="1:2" x14ac:dyDescent="0.25">
      <c r="A112" s="42">
        <v>10.7</v>
      </c>
      <c r="B112" s="42">
        <v>423.35892289179094</v>
      </c>
    </row>
    <row r="113" spans="1:2" x14ac:dyDescent="0.25">
      <c r="A113" s="42">
        <v>10.771428571428572</v>
      </c>
      <c r="B113" s="42">
        <v>424.97998940101365</v>
      </c>
    </row>
    <row r="114" spans="1:2" x14ac:dyDescent="0.25">
      <c r="A114" s="42">
        <v>10.842857142857143</v>
      </c>
      <c r="B114" s="42">
        <v>426.59792800353654</v>
      </c>
    </row>
    <row r="115" spans="1:2" x14ac:dyDescent="0.25">
      <c r="A115" s="42">
        <v>10.985714285714286</v>
      </c>
      <c r="B115" s="42">
        <v>427.64420660320451</v>
      </c>
    </row>
    <row r="116" spans="1:2" x14ac:dyDescent="0.25">
      <c r="A116" s="42">
        <v>11.057142857142857</v>
      </c>
      <c r="B116" s="42">
        <v>428.81881789700259</v>
      </c>
    </row>
    <row r="117" spans="1:2" x14ac:dyDescent="0.25">
      <c r="A117" s="42">
        <v>11.200000000000001</v>
      </c>
      <c r="B117" s="42">
        <v>430.2907695872492</v>
      </c>
    </row>
    <row r="118" spans="1:2" x14ac:dyDescent="0.25">
      <c r="A118" s="42">
        <v>11.27142857142857</v>
      </c>
      <c r="B118" s="42">
        <v>431.45879634552182</v>
      </c>
    </row>
    <row r="119" spans="1:2" x14ac:dyDescent="0.25">
      <c r="A119" s="42">
        <v>11.342857142857143</v>
      </c>
      <c r="B119" s="42">
        <v>433.05868847993474</v>
      </c>
    </row>
    <row r="120" spans="1:2" x14ac:dyDescent="0.25">
      <c r="A120" s="42">
        <v>11.485714285714284</v>
      </c>
      <c r="B120" s="42">
        <v>434.08112057589511</v>
      </c>
    </row>
    <row r="121" spans="1:2" x14ac:dyDescent="0.25">
      <c r="A121" s="42">
        <v>11.557142857142857</v>
      </c>
      <c r="B121" s="42">
        <v>435.45675658432646</v>
      </c>
    </row>
    <row r="122" spans="1:2" x14ac:dyDescent="0.25">
      <c r="A122" s="42">
        <v>11.7</v>
      </c>
      <c r="B122" s="42">
        <v>436.25324659178466</v>
      </c>
    </row>
    <row r="123" spans="1:2" x14ac:dyDescent="0.25">
      <c r="A123" s="42">
        <v>11.771428571428569</v>
      </c>
      <c r="B123" s="42">
        <v>437.40602606652163</v>
      </c>
    </row>
    <row r="124" spans="1:2" x14ac:dyDescent="0.25">
      <c r="A124" s="42">
        <v>11.842857142857142</v>
      </c>
      <c r="B124" s="42">
        <v>438.77229953079922</v>
      </c>
    </row>
    <row r="125" spans="1:2" x14ac:dyDescent="0.25">
      <c r="A125" s="42">
        <v>11.985714285714284</v>
      </c>
      <c r="B125" s="42">
        <v>439.98750701929271</v>
      </c>
    </row>
    <row r="126" spans="1:2" x14ac:dyDescent="0.25">
      <c r="A126" s="42">
        <v>12.057142857142857</v>
      </c>
      <c r="B126" s="42">
        <v>440.91587659495832</v>
      </c>
    </row>
    <row r="127" spans="1:2" x14ac:dyDescent="0.25">
      <c r="A127" s="42">
        <v>12.199999999999998</v>
      </c>
      <c r="B127" s="42">
        <v>441.90619168916498</v>
      </c>
    </row>
    <row r="128" spans="1:2" x14ac:dyDescent="0.25">
      <c r="A128" s="42">
        <v>12.27142857142857</v>
      </c>
      <c r="B128" s="42">
        <v>443.04389882940211</v>
      </c>
    </row>
    <row r="129" spans="1:2" x14ac:dyDescent="0.25">
      <c r="A129" s="42">
        <v>12.342857142857142</v>
      </c>
      <c r="B129" s="42">
        <v>443.96448040223697</v>
      </c>
    </row>
    <row r="130" spans="1:2" x14ac:dyDescent="0.25">
      <c r="A130" s="42">
        <v>12.485714285714284</v>
      </c>
      <c r="B130" s="42">
        <v>444.72767111658248</v>
      </c>
    </row>
    <row r="131" spans="1:2" x14ac:dyDescent="0.25">
      <c r="A131" s="42">
        <v>12.557142857142855</v>
      </c>
      <c r="B131" s="42">
        <v>445.64289279714296</v>
      </c>
    </row>
    <row r="132" spans="1:2" x14ac:dyDescent="0.25">
      <c r="A132" s="42">
        <v>12.699999999999998</v>
      </c>
      <c r="B132" s="42">
        <v>446.39798796247828</v>
      </c>
    </row>
    <row r="133" spans="1:2" x14ac:dyDescent="0.25">
      <c r="A133" s="42">
        <v>12.77142857142857</v>
      </c>
      <c r="B133" s="42">
        <v>447.52149751339505</v>
      </c>
    </row>
    <row r="134" spans="1:2" x14ac:dyDescent="0.25">
      <c r="A134" s="42">
        <v>12.842857142857142</v>
      </c>
      <c r="B134" s="42">
        <v>448.42910614016074</v>
      </c>
    </row>
    <row r="135" spans="1:2" x14ac:dyDescent="0.25">
      <c r="A135" s="42">
        <v>12.985714285714286</v>
      </c>
      <c r="B135" s="42">
        <v>448.95935126310144</v>
      </c>
    </row>
    <row r="136" spans="1:2" x14ac:dyDescent="0.25">
      <c r="A136" s="42">
        <v>13.057142857142857</v>
      </c>
      <c r="B136" s="42">
        <v>450.07472291311569</v>
      </c>
    </row>
    <row r="137" spans="1:2" x14ac:dyDescent="0.25">
      <c r="A137" s="42">
        <v>13.199999999999998</v>
      </c>
      <c r="B137" s="42">
        <v>450.59739733415381</v>
      </c>
    </row>
    <row r="138" spans="1:2" x14ac:dyDescent="0.25">
      <c r="A138" s="42">
        <v>13.27142857142857</v>
      </c>
      <c r="B138" s="42">
        <v>451.49446112540687</v>
      </c>
    </row>
    <row r="139" spans="1:2" x14ac:dyDescent="0.25">
      <c r="A139" s="42">
        <v>13.342857142857142</v>
      </c>
      <c r="B139" s="42">
        <v>452.60169487451861</v>
      </c>
    </row>
    <row r="140" spans="1:2" x14ac:dyDescent="0.25">
      <c r="A140" s="42">
        <v>13.485714285714284</v>
      </c>
      <c r="B140" s="42">
        <v>453.11369186290034</v>
      </c>
    </row>
    <row r="141" spans="1:2" x14ac:dyDescent="0.25">
      <c r="A141" s="42">
        <v>13.557142857142853</v>
      </c>
      <c r="B141" s="42">
        <v>454.00331754939441</v>
      </c>
    </row>
    <row r="142" spans="1:2" x14ac:dyDescent="0.25">
      <c r="A142" s="42">
        <v>13.700000000000001</v>
      </c>
      <c r="B142" s="42">
        <v>454.5080937339452</v>
      </c>
    </row>
    <row r="143" spans="1:2" x14ac:dyDescent="0.25">
      <c r="A143" s="42">
        <v>13.77142857142857</v>
      </c>
      <c r="B143" s="42">
        <v>455.39253447720091</v>
      </c>
    </row>
    <row r="144" spans="1:2" x14ac:dyDescent="0.25">
      <c r="A144" s="42">
        <v>13.842857142857143</v>
      </c>
      <c r="B144" s="42">
        <v>456.27489700797202</v>
      </c>
    </row>
    <row r="145" spans="1:2" x14ac:dyDescent="0.25">
      <c r="A145" s="42">
        <v>13.985714285714284</v>
      </c>
      <c r="B145" s="42">
        <v>456.5586720289179</v>
      </c>
    </row>
    <row r="146" spans="1:2" x14ac:dyDescent="0.25">
      <c r="A146" s="42">
        <v>14.057142857142857</v>
      </c>
      <c r="B146" s="42">
        <v>457.43602456548655</v>
      </c>
    </row>
    <row r="147" spans="1:2" x14ac:dyDescent="0.25">
      <c r="A147" s="42">
        <v>14.2</v>
      </c>
      <c r="B147" s="42">
        <v>457.92360230969376</v>
      </c>
    </row>
    <row r="148" spans="1:2" x14ac:dyDescent="0.25">
      <c r="A148" s="42">
        <v>14.271428571428569</v>
      </c>
      <c r="B148" s="42">
        <v>458.58579607014707</v>
      </c>
    </row>
    <row r="149" spans="1:2" x14ac:dyDescent="0.25">
      <c r="A149" s="42">
        <v>14.34285714285714</v>
      </c>
      <c r="B149" s="42">
        <v>459.03646263234668</v>
      </c>
    </row>
    <row r="150" spans="1:2" x14ac:dyDescent="0.25">
      <c r="A150" s="42">
        <v>14.485714285714286</v>
      </c>
      <c r="B150" s="42">
        <v>459.51476253618472</v>
      </c>
    </row>
    <row r="151" spans="1:2" x14ac:dyDescent="0.25">
      <c r="A151" s="42">
        <v>14.557142857142857</v>
      </c>
      <c r="B151" s="42">
        <v>460.38019182089948</v>
      </c>
    </row>
    <row r="152" spans="1:2" x14ac:dyDescent="0.25">
      <c r="A152" s="42">
        <v>14.7</v>
      </c>
      <c r="B152" s="42">
        <v>460.64234678224511</v>
      </c>
    </row>
    <row r="153" spans="1:2" x14ac:dyDescent="0.25">
      <c r="A153" s="42">
        <v>14.771428571428572</v>
      </c>
      <c r="B153" s="42">
        <v>461.29401688313197</v>
      </c>
    </row>
    <row r="154" spans="1:2" x14ac:dyDescent="0.25">
      <c r="A154" s="42">
        <v>14.842857142857142</v>
      </c>
      <c r="B154" s="42">
        <v>462.15253291019553</v>
      </c>
    </row>
    <row r="155" spans="1:2" x14ac:dyDescent="0.25">
      <c r="A155" s="42">
        <v>14.985714285714282</v>
      </c>
      <c r="B155" s="42">
        <v>462.19753558672579</v>
      </c>
    </row>
    <row r="156" spans="1:2" x14ac:dyDescent="0.25">
      <c r="A156" s="42">
        <v>15.057142857142855</v>
      </c>
      <c r="B156" s="42">
        <v>462.63511778165878</v>
      </c>
    </row>
    <row r="157" spans="1:2" x14ac:dyDescent="0.25">
      <c r="A157" s="42">
        <v>15.2</v>
      </c>
      <c r="B157" s="42">
        <v>463.09074793168116</v>
      </c>
    </row>
    <row r="158" spans="1:2" x14ac:dyDescent="0.25">
      <c r="A158" s="42">
        <v>15.271428571428572</v>
      </c>
      <c r="B158" s="42">
        <v>463.73206932203715</v>
      </c>
    </row>
    <row r="159" spans="1:2" x14ac:dyDescent="0.25">
      <c r="A159" s="42">
        <v>15.342857142857142</v>
      </c>
      <c r="B159" s="42">
        <v>464.16431280064194</v>
      </c>
    </row>
    <row r="160" spans="1:2" x14ac:dyDescent="0.25">
      <c r="A160" s="42">
        <v>15.485714285714286</v>
      </c>
      <c r="B160" s="42">
        <v>464.40366541102844</v>
      </c>
    </row>
    <row r="161" spans="1:2" x14ac:dyDescent="0.25">
      <c r="A161" s="42">
        <v>15.557142857142855</v>
      </c>
      <c r="B161" s="42">
        <v>464.83229848771776</v>
      </c>
    </row>
    <row r="162" spans="1:2" x14ac:dyDescent="0.25">
      <c r="A162" s="42">
        <v>15.699999999999998</v>
      </c>
      <c r="B162" s="42">
        <v>465.27247968775538</v>
      </c>
    </row>
    <row r="163" spans="1:2" x14ac:dyDescent="0.25">
      <c r="A163" s="42">
        <v>15.771428571428569</v>
      </c>
      <c r="B163" s="42">
        <v>465.49102751037043</v>
      </c>
    </row>
    <row r="164" spans="1:2" x14ac:dyDescent="0.25">
      <c r="A164" s="42">
        <v>15.842857142857142</v>
      </c>
      <c r="B164" s="42">
        <v>466.12079672289047</v>
      </c>
    </row>
    <row r="165" spans="1:2" x14ac:dyDescent="0.25">
      <c r="A165" s="42">
        <v>15.985714285714284</v>
      </c>
      <c r="B165" s="42">
        <v>466.14049986859993</v>
      </c>
    </row>
    <row r="166" spans="1:2" x14ac:dyDescent="0.25">
      <c r="A166" s="42">
        <v>16.057142857142857</v>
      </c>
      <c r="B166" s="42">
        <v>466.97173393907639</v>
      </c>
    </row>
    <row r="167" spans="1:2" x14ac:dyDescent="0.25">
      <c r="A167" s="42">
        <v>16.2</v>
      </c>
      <c r="B167" s="42">
        <v>466.57546535349837</v>
      </c>
    </row>
    <row r="168" spans="1:2" x14ac:dyDescent="0.25">
      <c r="A168" s="42">
        <v>16.271428571428569</v>
      </c>
      <c r="B168" s="42">
        <v>467.19713901700834</v>
      </c>
    </row>
    <row r="169" spans="1:2" x14ac:dyDescent="0.25">
      <c r="A169" s="42">
        <v>16.342857142857142</v>
      </c>
      <c r="B169" s="42">
        <v>467.61218405526938</v>
      </c>
    </row>
    <row r="170" spans="1:2" x14ac:dyDescent="0.25">
      <c r="A170" s="42">
        <v>16.485714285714284</v>
      </c>
      <c r="B170" s="42">
        <v>467.61993723171202</v>
      </c>
    </row>
    <row r="171" spans="1:2" x14ac:dyDescent="0.25">
      <c r="A171" s="42">
        <v>16.557142857142857</v>
      </c>
      <c r="B171" s="42">
        <v>468.0315468170935</v>
      </c>
    </row>
    <row r="172" spans="1:2" x14ac:dyDescent="0.25">
      <c r="A172" s="42">
        <v>16.7</v>
      </c>
      <c r="B172" s="42">
        <v>468.03452847620764</v>
      </c>
    </row>
    <row r="173" spans="1:2" x14ac:dyDescent="0.25">
      <c r="A173" s="42">
        <v>16.771428571428572</v>
      </c>
      <c r="B173" s="42">
        <v>468.23885199208917</v>
      </c>
    </row>
    <row r="174" spans="1:2" x14ac:dyDescent="0.25">
      <c r="A174" s="42">
        <v>16.842857142857142</v>
      </c>
      <c r="B174" s="42">
        <v>468.64582265728615</v>
      </c>
    </row>
    <row r="175" spans="1:2" x14ac:dyDescent="0.25">
      <c r="A175" s="42">
        <v>16.985714285714284</v>
      </c>
      <c r="B175" s="42">
        <v>468.64232566060531</v>
      </c>
    </row>
    <row r="176" spans="1:2" x14ac:dyDescent="0.25">
      <c r="A176" s="42">
        <v>17.057142857142857</v>
      </c>
      <c r="B176" s="42">
        <v>468.63955923196863</v>
      </c>
    </row>
    <row r="177" spans="1:2" x14ac:dyDescent="0.25">
      <c r="A177" s="42">
        <v>17.2</v>
      </c>
      <c r="B177" s="42">
        <v>468.83479143650823</v>
      </c>
    </row>
    <row r="178" spans="1:2" x14ac:dyDescent="0.25">
      <c r="A178" s="42">
        <v>17.271428571428572</v>
      </c>
      <c r="B178" s="42">
        <v>469.03244017161273</v>
      </c>
    </row>
    <row r="179" spans="1:2" x14ac:dyDescent="0.25">
      <c r="A179" s="42">
        <v>17.342857142857142</v>
      </c>
      <c r="B179" s="42">
        <v>469.22906038844798</v>
      </c>
    </row>
    <row r="180" spans="1:2" x14ac:dyDescent="0.25">
      <c r="A180" s="42">
        <v>17.48571428571428</v>
      </c>
      <c r="B180" s="42">
        <v>469.21501301478736</v>
      </c>
    </row>
    <row r="181" spans="1:2" x14ac:dyDescent="0.25">
      <c r="A181" s="42">
        <v>17.557142857142857</v>
      </c>
      <c r="B181" s="42">
        <v>469.20697139766082</v>
      </c>
    </row>
    <row r="182" spans="1:2" x14ac:dyDescent="0.25">
      <c r="A182" s="42">
        <v>17.7</v>
      </c>
      <c r="B182" s="42">
        <v>469.18885230281535</v>
      </c>
    </row>
    <row r="183" spans="1:2" x14ac:dyDescent="0.25">
      <c r="A183" s="42">
        <v>17.771428571428572</v>
      </c>
      <c r="B183" s="42">
        <v>469.38017615521471</v>
      </c>
    </row>
    <row r="184" spans="1:2" x14ac:dyDescent="0.25">
      <c r="A184" s="42">
        <v>17.842857142857142</v>
      </c>
      <c r="B184" s="42">
        <v>469.36924510826242</v>
      </c>
    </row>
    <row r="185" spans="1:2" x14ac:dyDescent="0.25">
      <c r="A185" s="42">
        <v>17.985714285714284</v>
      </c>
      <c r="B185" s="42">
        <v>469.34534715376549</v>
      </c>
    </row>
    <row r="186" spans="1:2" x14ac:dyDescent="0.25">
      <c r="A186" s="42">
        <v>18.057142857142853</v>
      </c>
      <c r="B186" s="42">
        <v>469.33238024622102</v>
      </c>
    </row>
    <row r="187" spans="1:2" x14ac:dyDescent="0.25">
      <c r="A187" s="42">
        <v>18.199999999999996</v>
      </c>
      <c r="B187" s="42">
        <v>469.30441057053929</v>
      </c>
    </row>
    <row r="188" spans="1:2" x14ac:dyDescent="0.25">
      <c r="A188" s="42">
        <v>18.271428571428569</v>
      </c>
      <c r="B188" s="42">
        <v>469.28940780240237</v>
      </c>
    </row>
    <row r="189" spans="1:2" x14ac:dyDescent="0.25">
      <c r="A189" s="42">
        <v>18.342857142857142</v>
      </c>
      <c r="B189" s="42">
        <v>469.67372988972988</v>
      </c>
    </row>
    <row r="190" spans="1:2" x14ac:dyDescent="0.25">
      <c r="A190" s="42">
        <v>18.485714285714288</v>
      </c>
      <c r="B190" s="42">
        <v>469.24032777680668</v>
      </c>
    </row>
    <row r="191" spans="1:2" x14ac:dyDescent="0.25">
      <c r="A191" s="42">
        <v>18.557142857142857</v>
      </c>
      <c r="B191" s="42">
        <v>469.4220874186031</v>
      </c>
    </row>
    <row r="192" spans="1:2" x14ac:dyDescent="0.25">
      <c r="A192" s="42">
        <v>18.7</v>
      </c>
      <c r="B192" s="42">
        <v>469.18514016943374</v>
      </c>
    </row>
    <row r="193" spans="1:2" x14ac:dyDescent="0.25">
      <c r="A193" s="42">
        <v>18.771428571428569</v>
      </c>
      <c r="B193" s="42">
        <v>469.36433910353014</v>
      </c>
    </row>
    <row r="194" spans="1:2" x14ac:dyDescent="0.25">
      <c r="A194" s="42">
        <v>18.842857142857142</v>
      </c>
      <c r="B194" s="42">
        <v>469.54250951935745</v>
      </c>
    </row>
    <row r="195" spans="1:2" x14ac:dyDescent="0.25">
      <c r="A195" s="42">
        <v>18.985714285714284</v>
      </c>
      <c r="B195" s="42">
        <v>469.30048320668016</v>
      </c>
    </row>
    <row r="196" spans="1:2" x14ac:dyDescent="0.25">
      <c r="A196" s="42">
        <v>19.057142857142857</v>
      </c>
      <c r="B196" s="42">
        <v>469.47609291480728</v>
      </c>
    </row>
    <row r="197" spans="1:2" x14ac:dyDescent="0.25">
      <c r="A197" s="42">
        <v>19.2</v>
      </c>
      <c r="B197" s="42">
        <v>469.03261737865267</v>
      </c>
    </row>
    <row r="198" spans="1:2" x14ac:dyDescent="0.25">
      <c r="A198" s="42">
        <v>19.271428571428569</v>
      </c>
      <c r="B198" s="42">
        <v>469.40356872848008</v>
      </c>
    </row>
    <row r="199" spans="1:2" x14ac:dyDescent="0.25">
      <c r="A199" s="42">
        <v>19.342857142857142</v>
      </c>
      <c r="B199" s="42">
        <v>469.18048430798103</v>
      </c>
    </row>
    <row r="200" spans="1:2" x14ac:dyDescent="0.25">
      <c r="A200" s="42">
        <v>19.485714285714284</v>
      </c>
      <c r="B200" s="42">
        <v>469.12773440711896</v>
      </c>
    </row>
    <row r="201" spans="1:2" x14ac:dyDescent="0.25">
      <c r="A201" s="42">
        <v>19.557142857142857</v>
      </c>
      <c r="B201" s="42">
        <v>469.1003415263919</v>
      </c>
    </row>
    <row r="202" spans="1:2" x14ac:dyDescent="0.25">
      <c r="A202" s="42">
        <v>19.7</v>
      </c>
      <c r="B202" s="42">
        <v>468.65016449204711</v>
      </c>
    </row>
    <row r="203" spans="1:2" x14ac:dyDescent="0.25">
      <c r="A203" s="42">
        <v>19.771428571428569</v>
      </c>
      <c r="B203" s="42">
        <v>468.81758840591249</v>
      </c>
    </row>
    <row r="204" spans="1:2" x14ac:dyDescent="0.25">
      <c r="A204" s="42">
        <v>19.842857142857142</v>
      </c>
      <c r="B204" s="42">
        <v>468.98398380150871</v>
      </c>
    </row>
    <row r="205" spans="1:2" x14ac:dyDescent="0.25">
      <c r="A205" s="42">
        <v>19.985714285714284</v>
      </c>
      <c r="B205" s="42">
        <v>468.52977739787144</v>
      </c>
    </row>
    <row r="206" spans="1:2" x14ac:dyDescent="0.25">
      <c r="A206" s="42">
        <v>20.057142857142857</v>
      </c>
      <c r="B206" s="42">
        <v>468.49798407383383</v>
      </c>
    </row>
    <row r="207" spans="1:2" x14ac:dyDescent="0.25">
      <c r="A207" s="42">
        <v>20.2</v>
      </c>
      <c r="B207" s="42">
        <v>468.43236156516639</v>
      </c>
    </row>
    <row r="208" spans="1:2" x14ac:dyDescent="0.25">
      <c r="A208" s="42">
        <v>20.271428571428572</v>
      </c>
      <c r="B208" s="42">
        <v>468.39853238053632</v>
      </c>
    </row>
    <row r="209" spans="1:2" x14ac:dyDescent="0.25">
      <c r="A209" s="42">
        <v>20.342857142857142</v>
      </c>
      <c r="B209" s="42">
        <v>468.55912774053502</v>
      </c>
    </row>
    <row r="210" spans="1:2" x14ac:dyDescent="0.25">
      <c r="A210" s="42">
        <v>20.485714285714284</v>
      </c>
      <c r="B210" s="42">
        <v>468.09821983870751</v>
      </c>
    </row>
    <row r="211" spans="1:2" x14ac:dyDescent="0.25">
      <c r="A211" s="42">
        <v>20.557142857142853</v>
      </c>
      <c r="B211" s="42">
        <v>468.25642944004193</v>
      </c>
    </row>
    <row r="212" spans="1:2" x14ac:dyDescent="0.25">
      <c r="A212" s="42">
        <v>20.7</v>
      </c>
      <c r="B212" s="42">
        <v>467.79284940931689</v>
      </c>
    </row>
    <row r="213" spans="1:2" x14ac:dyDescent="0.25">
      <c r="A213" s="42">
        <v>20.771428571428572</v>
      </c>
      <c r="B213" s="42">
        <v>467.7546197813765</v>
      </c>
    </row>
    <row r="214" spans="1:2" x14ac:dyDescent="0.25">
      <c r="A214" s="42"/>
      <c r="B214" s="42"/>
    </row>
    <row r="215" spans="1:2" x14ac:dyDescent="0.25">
      <c r="A215" s="42"/>
      <c r="B215" s="42"/>
    </row>
    <row r="216" spans="1:2" x14ac:dyDescent="0.25">
      <c r="A216" s="42"/>
      <c r="B216" s="42"/>
    </row>
    <row r="217" spans="1:2" x14ac:dyDescent="0.25">
      <c r="A217" s="42"/>
      <c r="B217" s="42"/>
    </row>
    <row r="218" spans="1:2" x14ac:dyDescent="0.25">
      <c r="A218" s="42"/>
      <c r="B218" s="42"/>
    </row>
    <row r="219" spans="1:2" x14ac:dyDescent="0.25">
      <c r="A219" s="42"/>
      <c r="B219" s="42"/>
    </row>
    <row r="220" spans="1:2" x14ac:dyDescent="0.25">
      <c r="A220" s="42"/>
      <c r="B220" s="42"/>
    </row>
    <row r="221" spans="1:2" x14ac:dyDescent="0.25">
      <c r="A221" s="42"/>
      <c r="B221" s="42"/>
    </row>
    <row r="222" spans="1:2" x14ac:dyDescent="0.25">
      <c r="A222" s="42"/>
      <c r="B222" s="42"/>
    </row>
    <row r="223" spans="1:2" x14ac:dyDescent="0.25">
      <c r="A223" s="42"/>
      <c r="B223" s="42"/>
    </row>
    <row r="224" spans="1:2" x14ac:dyDescent="0.25">
      <c r="A224" s="42"/>
      <c r="B224" s="42"/>
    </row>
    <row r="225" spans="1:2" x14ac:dyDescent="0.25">
      <c r="A225" s="42"/>
      <c r="B225" s="42"/>
    </row>
    <row r="226" spans="1:2" x14ac:dyDescent="0.25">
      <c r="A226" s="42"/>
      <c r="B226" s="42"/>
    </row>
    <row r="227" spans="1:2" x14ac:dyDescent="0.25">
      <c r="A227" s="42"/>
      <c r="B227" s="42"/>
    </row>
    <row r="228" spans="1:2" x14ac:dyDescent="0.25">
      <c r="A228" s="42"/>
      <c r="B228" s="42"/>
    </row>
    <row r="229" spans="1:2" x14ac:dyDescent="0.25">
      <c r="A229" s="42"/>
      <c r="B229" s="42"/>
    </row>
    <row r="230" spans="1:2" x14ac:dyDescent="0.25">
      <c r="A230" s="42"/>
      <c r="B230" s="42"/>
    </row>
    <row r="231" spans="1:2" x14ac:dyDescent="0.25">
      <c r="A231" s="42"/>
      <c r="B231" s="42"/>
    </row>
    <row r="232" spans="1:2" x14ac:dyDescent="0.25">
      <c r="A232" s="42"/>
      <c r="B232" s="42"/>
    </row>
    <row r="233" spans="1:2" x14ac:dyDescent="0.25">
      <c r="A233" s="42"/>
      <c r="B233" s="42"/>
    </row>
    <row r="234" spans="1:2" x14ac:dyDescent="0.25">
      <c r="A234" s="42"/>
      <c r="B234" s="42"/>
    </row>
    <row r="235" spans="1:2" x14ac:dyDescent="0.25">
      <c r="A235" s="42"/>
      <c r="B235" s="42"/>
    </row>
    <row r="236" spans="1:2" x14ac:dyDescent="0.25">
      <c r="A236" s="42"/>
      <c r="B236" s="42"/>
    </row>
    <row r="237" spans="1:2" x14ac:dyDescent="0.25">
      <c r="A237" s="42"/>
      <c r="B237" s="42"/>
    </row>
    <row r="238" spans="1:2" x14ac:dyDescent="0.25">
      <c r="A238" s="42"/>
      <c r="B238" s="4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0D458-16D9-4147-88CE-CBB9CBB3CC87}">
  <dimension ref="A1:C419"/>
  <sheetViews>
    <sheetView zoomScaleNormal="100" workbookViewId="0">
      <pane ySplit="4" topLeftCell="A5" activePane="bottomLeft" state="frozen"/>
      <selection pane="bottomLeft" activeCell="A5" sqref="A5"/>
    </sheetView>
  </sheetViews>
  <sheetFormatPr defaultRowHeight="14.25" x14ac:dyDescent="0.2"/>
  <cols>
    <col min="1" max="2" width="24.7109375" style="39" customWidth="1"/>
  </cols>
  <sheetData>
    <row r="1" spans="1:3" x14ac:dyDescent="0.2">
      <c r="A1" s="38" t="s">
        <v>26</v>
      </c>
    </row>
    <row r="3" spans="1:3" s="7" customFormat="1" x14ac:dyDescent="0.2">
      <c r="A3" s="40" t="s">
        <v>24</v>
      </c>
      <c r="B3" s="40" t="s">
        <v>27</v>
      </c>
    </row>
    <row r="4" spans="1:3" s="7" customFormat="1" x14ac:dyDescent="0.2">
      <c r="A4" s="41" t="s">
        <v>22</v>
      </c>
      <c r="B4" s="41" t="s">
        <v>23</v>
      </c>
    </row>
    <row r="5" spans="1:3" s="7" customFormat="1" x14ac:dyDescent="0.25">
      <c r="A5" s="42">
        <v>0</v>
      </c>
      <c r="B5" s="42">
        <v>0</v>
      </c>
      <c r="C5" s="8"/>
    </row>
    <row r="6" spans="1:3" s="7" customFormat="1" x14ac:dyDescent="0.25">
      <c r="A6" s="42">
        <v>9.9999999999999978E-2</v>
      </c>
      <c r="B6" s="42">
        <v>36.384613429550036</v>
      </c>
      <c r="C6" s="8"/>
    </row>
    <row r="7" spans="1:3" s="7" customFormat="1" x14ac:dyDescent="0.25">
      <c r="A7" s="42">
        <v>0.2</v>
      </c>
      <c r="B7" s="42">
        <v>55.974085733662122</v>
      </c>
      <c r="C7" s="8"/>
    </row>
    <row r="8" spans="1:3" s="7" customFormat="1" x14ac:dyDescent="0.25">
      <c r="A8" s="42">
        <v>0.3</v>
      </c>
      <c r="B8" s="42">
        <v>69.811860103596686</v>
      </c>
      <c r="C8" s="8"/>
    </row>
    <row r="9" spans="1:3" x14ac:dyDescent="0.25">
      <c r="A9" s="42">
        <v>0.4</v>
      </c>
      <c r="B9" s="42">
        <v>83.317429731937168</v>
      </c>
      <c r="C9" s="8"/>
    </row>
    <row r="10" spans="1:3" x14ac:dyDescent="0.25">
      <c r="A10" s="42">
        <v>0.49999999999999994</v>
      </c>
      <c r="B10" s="42">
        <v>95.73158734294887</v>
      </c>
      <c r="C10" s="8"/>
    </row>
    <row r="11" spans="1:3" x14ac:dyDescent="0.25">
      <c r="A11" s="42">
        <v>0.60000000000000009</v>
      </c>
      <c r="B11" s="42">
        <v>106.24755743150581</v>
      </c>
      <c r="C11" s="8"/>
    </row>
    <row r="12" spans="1:3" x14ac:dyDescent="0.25">
      <c r="A12" s="42">
        <v>0.7</v>
      </c>
      <c r="B12" s="42">
        <v>116.64105079627744</v>
      </c>
      <c r="C12" s="8"/>
    </row>
    <row r="13" spans="1:3" x14ac:dyDescent="0.25">
      <c r="A13" s="42">
        <v>0.8</v>
      </c>
      <c r="B13" s="42">
        <v>125.8008858217825</v>
      </c>
      <c r="C13" s="8"/>
    </row>
    <row r="14" spans="1:3" x14ac:dyDescent="0.25">
      <c r="A14" s="42">
        <v>0.90000000000000013</v>
      </c>
      <c r="B14" s="42">
        <v>133.02413242016357</v>
      </c>
      <c r="C14" s="8"/>
    </row>
    <row r="15" spans="1:3" x14ac:dyDescent="0.25">
      <c r="A15" s="42">
        <v>1</v>
      </c>
      <c r="B15" s="42">
        <v>138.26617627777318</v>
      </c>
      <c r="C15" s="8"/>
    </row>
    <row r="16" spans="1:3" x14ac:dyDescent="0.25">
      <c r="A16" s="42">
        <v>1.1000000000000001</v>
      </c>
      <c r="B16" s="42">
        <v>143.49738105487984</v>
      </c>
      <c r="C16" s="8"/>
    </row>
    <row r="17" spans="1:3" x14ac:dyDescent="0.25">
      <c r="A17" s="42">
        <v>1.2</v>
      </c>
      <c r="B17" s="42">
        <v>147.45978608128522</v>
      </c>
      <c r="C17" s="8"/>
    </row>
    <row r="18" spans="1:3" x14ac:dyDescent="0.25">
      <c r="A18" s="42">
        <v>1.3</v>
      </c>
      <c r="B18" s="42">
        <v>151.41389850627712</v>
      </c>
      <c r="C18" s="8"/>
    </row>
    <row r="19" spans="1:3" x14ac:dyDescent="0.25">
      <c r="A19" s="42">
        <v>1.4000000000000001</v>
      </c>
      <c r="B19" s="42">
        <v>154.8073360857677</v>
      </c>
      <c r="C19" s="8"/>
    </row>
    <row r="20" spans="1:3" x14ac:dyDescent="0.25">
      <c r="A20" s="42">
        <v>1.5</v>
      </c>
      <c r="B20" s="42">
        <v>157.99293896239388</v>
      </c>
      <c r="C20" s="8"/>
    </row>
    <row r="21" spans="1:3" x14ac:dyDescent="0.25">
      <c r="A21" s="42">
        <v>1.6</v>
      </c>
      <c r="B21" s="42">
        <v>160.7207447487333</v>
      </c>
      <c r="C21" s="8"/>
    </row>
    <row r="22" spans="1:3" x14ac:dyDescent="0.25">
      <c r="A22" s="42">
        <v>1.7000000000000002</v>
      </c>
      <c r="B22" s="42">
        <v>163.79314900587806</v>
      </c>
      <c r="C22" s="8"/>
    </row>
    <row r="23" spans="1:3" x14ac:dyDescent="0.25">
      <c r="A23" s="42">
        <v>1.8000000000000003</v>
      </c>
      <c r="B23" s="42">
        <v>166.60892802080423</v>
      </c>
      <c r="C23" s="8"/>
    </row>
    <row r="24" spans="1:3" x14ac:dyDescent="0.25">
      <c r="A24" s="42">
        <v>1.9000000000000004</v>
      </c>
      <c r="B24" s="42">
        <v>169.06892189776781</v>
      </c>
      <c r="C24" s="8"/>
    </row>
    <row r="25" spans="1:3" x14ac:dyDescent="0.25">
      <c r="A25" s="42">
        <v>2</v>
      </c>
      <c r="B25" s="42">
        <v>171.62339906936893</v>
      </c>
      <c r="C25" s="8"/>
    </row>
    <row r="26" spans="1:3" x14ac:dyDescent="0.25">
      <c r="A26" s="42">
        <v>2.0999999999999996</v>
      </c>
      <c r="B26" s="42">
        <v>174.27205395811689</v>
      </c>
      <c r="C26" s="8"/>
    </row>
    <row r="27" spans="1:3" x14ac:dyDescent="0.25">
      <c r="A27" s="42">
        <v>2.1999999999999997</v>
      </c>
      <c r="B27" s="42">
        <v>176.66591706959065</v>
      </c>
      <c r="C27" s="8"/>
    </row>
    <row r="28" spans="1:3" x14ac:dyDescent="0.25">
      <c r="A28" s="42">
        <v>2.2999999999999998</v>
      </c>
      <c r="B28" s="42">
        <v>178.55696134047579</v>
      </c>
      <c r="C28" s="8"/>
    </row>
    <row r="29" spans="1:3" x14ac:dyDescent="0.25">
      <c r="A29" s="42">
        <v>2.4</v>
      </c>
      <c r="B29" s="42">
        <v>181.4379328130199</v>
      </c>
      <c r="C29" s="8"/>
    </row>
    <row r="30" spans="1:3" x14ac:dyDescent="0.25">
      <c r="A30" s="42">
        <v>2.5</v>
      </c>
      <c r="B30" s="42">
        <v>183.56780373375202</v>
      </c>
      <c r="C30" s="8"/>
    </row>
    <row r="31" spans="1:3" x14ac:dyDescent="0.25">
      <c r="A31" s="42">
        <v>2.5999999999999996</v>
      </c>
      <c r="B31" s="42">
        <v>185.99057959977321</v>
      </c>
      <c r="C31" s="8"/>
    </row>
    <row r="32" spans="1:3" x14ac:dyDescent="0.25">
      <c r="A32" s="42">
        <v>2.6999999999999997</v>
      </c>
      <c r="B32" s="42">
        <v>187.91247194931378</v>
      </c>
      <c r="C32" s="8"/>
    </row>
    <row r="33" spans="1:3" x14ac:dyDescent="0.25">
      <c r="A33" s="42">
        <v>2.8</v>
      </c>
      <c r="B33" s="42">
        <v>190.12706552581633</v>
      </c>
      <c r="C33" s="8"/>
    </row>
    <row r="34" spans="1:3" x14ac:dyDescent="0.25">
      <c r="A34" s="42">
        <v>2.9</v>
      </c>
      <c r="B34" s="42">
        <v>192.3367278533035</v>
      </c>
      <c r="C34" s="8"/>
    </row>
    <row r="35" spans="1:3" x14ac:dyDescent="0.25">
      <c r="A35" s="42">
        <v>3</v>
      </c>
      <c r="B35" s="42">
        <v>194.49205723743961</v>
      </c>
      <c r="C35" s="8"/>
    </row>
    <row r="36" spans="1:3" x14ac:dyDescent="0.25">
      <c r="A36" s="42">
        <v>3.0999999999999996</v>
      </c>
      <c r="B36" s="42">
        <v>196.49450493746207</v>
      </c>
      <c r="C36" s="8"/>
    </row>
    <row r="37" spans="1:3" x14ac:dyDescent="0.25">
      <c r="A37" s="42">
        <v>3.2</v>
      </c>
      <c r="B37" s="42">
        <v>198.54172866029566</v>
      </c>
      <c r="C37" s="8"/>
    </row>
    <row r="38" spans="1:3" x14ac:dyDescent="0.25">
      <c r="A38" s="42">
        <v>3.3000000000000003</v>
      </c>
      <c r="B38" s="42">
        <v>200.5350778060143</v>
      </c>
      <c r="C38" s="8"/>
    </row>
    <row r="39" spans="1:3" x14ac:dyDescent="0.25">
      <c r="A39" s="42">
        <v>3.4000000000000004</v>
      </c>
      <c r="B39" s="42">
        <v>202.57310111538041</v>
      </c>
      <c r="C39" s="8"/>
    </row>
    <row r="40" spans="1:3" x14ac:dyDescent="0.25">
      <c r="A40" s="42">
        <v>3.5000000000000004</v>
      </c>
      <c r="B40" s="42">
        <v>204.45905761394161</v>
      </c>
      <c r="C40" s="8"/>
    </row>
    <row r="41" spans="1:3" x14ac:dyDescent="0.25">
      <c r="A41" s="42">
        <v>3.5999999999999996</v>
      </c>
      <c r="B41" s="42">
        <v>206.63527071953879</v>
      </c>
      <c r="C41" s="8"/>
    </row>
    <row r="42" spans="1:3" x14ac:dyDescent="0.25">
      <c r="A42" s="42">
        <v>3.6999999999999997</v>
      </c>
      <c r="B42" s="42">
        <v>208.56132663980469</v>
      </c>
      <c r="C42" s="8"/>
    </row>
    <row r="43" spans="1:3" x14ac:dyDescent="0.25">
      <c r="A43" s="42">
        <v>3.8</v>
      </c>
      <c r="B43" s="42">
        <v>210.53195486455445</v>
      </c>
      <c r="C43" s="8"/>
    </row>
    <row r="44" spans="1:3" x14ac:dyDescent="0.25">
      <c r="A44" s="42">
        <v>3.8999999999999995</v>
      </c>
      <c r="B44" s="42">
        <v>212.35122929264432</v>
      </c>
      <c r="C44" s="8"/>
    </row>
    <row r="45" spans="1:3" x14ac:dyDescent="0.25">
      <c r="A45" s="42">
        <v>4</v>
      </c>
      <c r="B45" s="42">
        <v>214.31296268141745</v>
      </c>
      <c r="C45" s="8"/>
    </row>
    <row r="46" spans="1:3" x14ac:dyDescent="0.25">
      <c r="A46" s="42">
        <v>4.0999999999999996</v>
      </c>
      <c r="B46" s="42">
        <v>216.2213307888934</v>
      </c>
      <c r="C46" s="8"/>
    </row>
    <row r="47" spans="1:3" x14ac:dyDescent="0.25">
      <c r="A47" s="42">
        <v>4.2</v>
      </c>
      <c r="B47" s="42">
        <v>217.93011478575491</v>
      </c>
      <c r="C47" s="8"/>
    </row>
    <row r="48" spans="1:3" x14ac:dyDescent="0.25">
      <c r="A48" s="42">
        <v>4.3</v>
      </c>
      <c r="B48" s="42">
        <v>219.82984270516314</v>
      </c>
      <c r="C48" s="8"/>
    </row>
    <row r="49" spans="1:3" x14ac:dyDescent="0.25">
      <c r="A49" s="42">
        <v>4.3999999999999995</v>
      </c>
      <c r="B49" s="42">
        <v>221.62777131099256</v>
      </c>
      <c r="C49" s="8"/>
    </row>
    <row r="50" spans="1:3" x14ac:dyDescent="0.25">
      <c r="A50" s="42">
        <v>4.5</v>
      </c>
      <c r="B50" s="42">
        <v>223.32420618073388</v>
      </c>
      <c r="C50" s="8"/>
    </row>
    <row r="51" spans="1:3" x14ac:dyDescent="0.25">
      <c r="A51" s="42">
        <v>4.5999999999999996</v>
      </c>
      <c r="B51" s="42">
        <v>225.25956063906744</v>
      </c>
      <c r="C51" s="8"/>
    </row>
    <row r="52" spans="1:3" x14ac:dyDescent="0.25">
      <c r="A52" s="42">
        <v>4.7</v>
      </c>
      <c r="B52" s="42">
        <v>226.65649647914171</v>
      </c>
      <c r="C52" s="8"/>
    </row>
    <row r="53" spans="1:3" x14ac:dyDescent="0.25">
      <c r="A53" s="42">
        <v>4.8</v>
      </c>
      <c r="B53" s="42">
        <v>228.48639361442591</v>
      </c>
      <c r="C53" s="8"/>
    </row>
    <row r="54" spans="1:3" x14ac:dyDescent="0.25">
      <c r="A54" s="42">
        <v>4.8999999999999995</v>
      </c>
      <c r="B54" s="42">
        <v>230.16666855883105</v>
      </c>
      <c r="C54" s="8"/>
    </row>
    <row r="55" spans="1:3" x14ac:dyDescent="0.25">
      <c r="A55" s="42">
        <v>5</v>
      </c>
      <c r="B55" s="42">
        <v>231.84292898669304</v>
      </c>
      <c r="C55" s="8"/>
    </row>
    <row r="56" spans="1:3" x14ac:dyDescent="0.25">
      <c r="A56" s="42">
        <v>5.0999999999999996</v>
      </c>
      <c r="B56" s="42">
        <v>233.37017837865741</v>
      </c>
      <c r="C56" s="8"/>
    </row>
    <row r="57" spans="1:3" x14ac:dyDescent="0.25">
      <c r="A57" s="42">
        <v>5.2</v>
      </c>
      <c r="B57" s="42">
        <v>234.94200007510574</v>
      </c>
      <c r="C57" s="8"/>
    </row>
    <row r="58" spans="1:3" x14ac:dyDescent="0.25">
      <c r="A58" s="42">
        <v>5.3</v>
      </c>
      <c r="B58" s="42">
        <v>236.75116254311089</v>
      </c>
      <c r="C58" s="8"/>
    </row>
    <row r="59" spans="1:3" x14ac:dyDescent="0.25">
      <c r="A59" s="42">
        <v>5.3999999999999995</v>
      </c>
      <c r="B59" s="42">
        <v>238.26692861084555</v>
      </c>
      <c r="C59" s="8"/>
    </row>
    <row r="60" spans="1:3" x14ac:dyDescent="0.25">
      <c r="A60" s="42">
        <v>5.5</v>
      </c>
      <c r="B60" s="42">
        <v>239.92337110390068</v>
      </c>
      <c r="C60" s="8"/>
    </row>
    <row r="61" spans="1:3" x14ac:dyDescent="0.25">
      <c r="A61" s="42">
        <v>5.6</v>
      </c>
      <c r="B61" s="42">
        <v>241.3834889795759</v>
      </c>
      <c r="C61" s="8"/>
    </row>
    <row r="62" spans="1:3" x14ac:dyDescent="0.25">
      <c r="A62" s="42">
        <v>5.7</v>
      </c>
      <c r="B62" s="42">
        <v>243.03210615787191</v>
      </c>
      <c r="C62" s="8"/>
    </row>
    <row r="63" spans="1:3" x14ac:dyDescent="0.25">
      <c r="A63" s="42">
        <v>5.8</v>
      </c>
      <c r="B63" s="42">
        <v>244.53278182148793</v>
      </c>
      <c r="C63" s="8"/>
    </row>
    <row r="64" spans="1:3" x14ac:dyDescent="0.25">
      <c r="A64" s="42">
        <v>5.8999999999999995</v>
      </c>
      <c r="B64" s="42">
        <v>246.36522170129837</v>
      </c>
      <c r="C64" s="8"/>
    </row>
    <row r="65" spans="1:3" x14ac:dyDescent="0.25">
      <c r="A65" s="42">
        <v>6</v>
      </c>
      <c r="B65" s="42">
        <v>247.57088013844466</v>
      </c>
      <c r="C65" s="8"/>
    </row>
    <row r="66" spans="1:3" x14ac:dyDescent="0.25">
      <c r="A66" s="42">
        <v>6.1</v>
      </c>
      <c r="B66" s="42">
        <v>248.96473230072121</v>
      </c>
      <c r="C66" s="8"/>
    </row>
    <row r="67" spans="1:3" x14ac:dyDescent="0.25">
      <c r="A67" s="42">
        <v>6.2</v>
      </c>
      <c r="B67" s="42">
        <v>250.49839508542777</v>
      </c>
      <c r="C67" s="8"/>
    </row>
    <row r="68" spans="1:3" x14ac:dyDescent="0.25">
      <c r="A68" s="42">
        <v>6.3</v>
      </c>
      <c r="B68" s="42">
        <v>252.075968090055</v>
      </c>
      <c r="C68" s="8"/>
    </row>
    <row r="69" spans="1:3" x14ac:dyDescent="0.25">
      <c r="A69" s="42">
        <v>6.4</v>
      </c>
      <c r="B69" s="42">
        <v>253.50661817163808</v>
      </c>
      <c r="C69" s="8"/>
    </row>
    <row r="70" spans="1:3" x14ac:dyDescent="0.25">
      <c r="A70" s="42">
        <v>6.5</v>
      </c>
      <c r="B70" s="42">
        <v>254.9336611733323</v>
      </c>
      <c r="C70" s="8"/>
    </row>
    <row r="71" spans="1:3" x14ac:dyDescent="0.25">
      <c r="A71" s="42">
        <v>6.6000000000000005</v>
      </c>
      <c r="B71" s="42">
        <v>256.16682417757238</v>
      </c>
      <c r="C71" s="8"/>
    </row>
    <row r="72" spans="1:3" x14ac:dyDescent="0.25">
      <c r="A72" s="42">
        <v>6.7</v>
      </c>
      <c r="B72" s="42">
        <v>257.58685673781611</v>
      </c>
      <c r="C72" s="8"/>
    </row>
    <row r="73" spans="1:3" x14ac:dyDescent="0.25">
      <c r="A73" s="42">
        <v>6.8000000000000007</v>
      </c>
      <c r="B73" s="42">
        <v>258.81341673726001</v>
      </c>
      <c r="C73" s="8"/>
    </row>
    <row r="74" spans="1:3" x14ac:dyDescent="0.25">
      <c r="A74" s="42">
        <v>6.8999999999999995</v>
      </c>
      <c r="B74" s="42">
        <v>260.41610061863696</v>
      </c>
      <c r="C74" s="8"/>
    </row>
    <row r="75" spans="1:3" x14ac:dyDescent="0.25">
      <c r="A75" s="42">
        <v>7.0000000000000009</v>
      </c>
      <c r="B75" s="42">
        <v>261.73058291708577</v>
      </c>
      <c r="C75" s="8"/>
    </row>
    <row r="76" spans="1:3" x14ac:dyDescent="0.25">
      <c r="A76" s="42">
        <v>7.1</v>
      </c>
      <c r="B76" s="42">
        <v>262.9943482724907</v>
      </c>
      <c r="C76" s="8"/>
    </row>
    <row r="77" spans="1:3" x14ac:dyDescent="0.25">
      <c r="A77" s="42">
        <v>7.2000000000000011</v>
      </c>
      <c r="B77" s="42">
        <v>264.34933742929854</v>
      </c>
      <c r="C77" s="8"/>
    </row>
    <row r="78" spans="1:3" x14ac:dyDescent="0.25">
      <c r="A78" s="42">
        <v>7.3</v>
      </c>
      <c r="B78" s="42">
        <v>265.6536096430624</v>
      </c>
      <c r="C78" s="8"/>
    </row>
    <row r="79" spans="1:3" x14ac:dyDescent="0.25">
      <c r="A79" s="42">
        <v>7.3999999999999995</v>
      </c>
      <c r="B79" s="42">
        <v>267.04880008073854</v>
      </c>
      <c r="C79" s="8"/>
    </row>
    <row r="80" spans="1:3" x14ac:dyDescent="0.25">
      <c r="A80" s="42">
        <v>7.5</v>
      </c>
      <c r="B80" s="42">
        <v>268.29905384906021</v>
      </c>
      <c r="C80" s="8"/>
    </row>
    <row r="81" spans="1:3" x14ac:dyDescent="0.25">
      <c r="A81" s="42">
        <v>7.6</v>
      </c>
      <c r="B81" s="42">
        <v>269.49894718141047</v>
      </c>
      <c r="C81" s="8"/>
    </row>
    <row r="82" spans="1:3" x14ac:dyDescent="0.25">
      <c r="A82" s="42">
        <v>7.7</v>
      </c>
      <c r="B82" s="42">
        <v>270.78965687850933</v>
      </c>
      <c r="C82" s="8"/>
    </row>
    <row r="83" spans="1:3" x14ac:dyDescent="0.25">
      <c r="A83" s="42">
        <v>7.8</v>
      </c>
      <c r="B83" s="42">
        <v>271.98304906522691</v>
      </c>
      <c r="C83" s="8"/>
    </row>
    <row r="84" spans="1:3" x14ac:dyDescent="0.25">
      <c r="A84" s="42">
        <v>7.9</v>
      </c>
      <c r="B84" s="42">
        <v>273.12633546388184</v>
      </c>
      <c r="C84" s="8"/>
    </row>
    <row r="85" spans="1:3" x14ac:dyDescent="0.25">
      <c r="A85" s="42">
        <v>7.9999999999999991</v>
      </c>
      <c r="B85" s="42">
        <v>274.26652407846598</v>
      </c>
      <c r="C85" s="8"/>
    </row>
    <row r="86" spans="1:3" x14ac:dyDescent="0.25">
      <c r="A86" s="42">
        <v>8.1000000000000014</v>
      </c>
      <c r="B86" s="42">
        <v>275.77804919429479</v>
      </c>
      <c r="C86" s="8"/>
    </row>
    <row r="87" spans="1:3" x14ac:dyDescent="0.25">
      <c r="A87" s="42">
        <v>8.2000000000000011</v>
      </c>
      <c r="B87" s="42">
        <v>276.72462137975185</v>
      </c>
      <c r="C87" s="8"/>
    </row>
    <row r="88" spans="1:3" x14ac:dyDescent="0.25">
      <c r="A88" s="42">
        <v>8.3000000000000007</v>
      </c>
      <c r="B88" s="42">
        <v>277.94871777679782</v>
      </c>
      <c r="C88" s="8"/>
    </row>
    <row r="89" spans="1:3" x14ac:dyDescent="0.25">
      <c r="A89" s="42">
        <v>8.4</v>
      </c>
      <c r="B89" s="42">
        <v>278.88960368993094</v>
      </c>
      <c r="C89" s="8"/>
    </row>
    <row r="90" spans="1:3" x14ac:dyDescent="0.25">
      <c r="A90" s="42">
        <v>8.5</v>
      </c>
      <c r="B90" s="42">
        <v>280.10740265967132</v>
      </c>
      <c r="C90" s="8"/>
    </row>
    <row r="91" spans="1:3" x14ac:dyDescent="0.25">
      <c r="A91" s="42">
        <v>8.6000000000000014</v>
      </c>
      <c r="B91" s="42">
        <v>281.18225121374701</v>
      </c>
      <c r="C91" s="8"/>
    </row>
    <row r="92" spans="1:3" x14ac:dyDescent="0.25">
      <c r="A92" s="42">
        <v>8.7000000000000011</v>
      </c>
      <c r="B92" s="42">
        <v>282.62609350830519</v>
      </c>
      <c r="C92" s="8"/>
    </row>
    <row r="93" spans="1:3" x14ac:dyDescent="0.25">
      <c r="A93" s="42">
        <v>8.8000000000000007</v>
      </c>
      <c r="B93" s="42">
        <v>283.2765127685845</v>
      </c>
      <c r="C93" s="8"/>
    </row>
    <row r="94" spans="1:3" x14ac:dyDescent="0.25">
      <c r="A94" s="42">
        <v>8.9</v>
      </c>
      <c r="B94" s="42">
        <v>284.38882132653004</v>
      </c>
      <c r="C94" s="8"/>
    </row>
    <row r="95" spans="1:3" x14ac:dyDescent="0.25">
      <c r="A95" s="42">
        <v>9</v>
      </c>
      <c r="B95" s="42">
        <v>285.6834157781181</v>
      </c>
      <c r="C95" s="8"/>
    </row>
    <row r="96" spans="1:3" x14ac:dyDescent="0.25">
      <c r="A96" s="42">
        <v>9.1000000000000014</v>
      </c>
      <c r="B96" s="42">
        <v>286.69673506990148</v>
      </c>
      <c r="C96" s="8"/>
    </row>
    <row r="97" spans="1:3" x14ac:dyDescent="0.25">
      <c r="A97" s="42">
        <v>9.2000000000000011</v>
      </c>
      <c r="B97" s="42">
        <v>287.66091623567632</v>
      </c>
      <c r="C97" s="8"/>
    </row>
    <row r="98" spans="1:3" x14ac:dyDescent="0.25">
      <c r="A98" s="42">
        <v>9.3000000000000007</v>
      </c>
      <c r="B98" s="42">
        <v>288.80707771760285</v>
      </c>
      <c r="C98" s="8"/>
    </row>
    <row r="99" spans="1:3" x14ac:dyDescent="0.25">
      <c r="A99" s="42">
        <v>9.4</v>
      </c>
      <c r="B99" s="42">
        <v>290.04232395849732</v>
      </c>
      <c r="C99" s="8"/>
    </row>
    <row r="100" spans="1:3" x14ac:dyDescent="0.25">
      <c r="A100" s="42">
        <v>9.5</v>
      </c>
      <c r="B100" s="42">
        <v>290.90543666567481</v>
      </c>
      <c r="C100" s="8"/>
    </row>
    <row r="101" spans="1:3" x14ac:dyDescent="0.25">
      <c r="A101" s="42">
        <v>9.6000000000000014</v>
      </c>
      <c r="B101" s="42">
        <v>291.95012225234967</v>
      </c>
      <c r="C101" s="8"/>
    </row>
    <row r="102" spans="1:3" x14ac:dyDescent="0.25">
      <c r="A102" s="42">
        <v>9.7000000000000011</v>
      </c>
      <c r="B102" s="42">
        <v>293.08379073882895</v>
      </c>
      <c r="C102" s="8"/>
    </row>
    <row r="103" spans="1:3" x14ac:dyDescent="0.25">
      <c r="A103" s="42">
        <v>9.8000000000000007</v>
      </c>
      <c r="B103" s="42">
        <v>294.16832109929959</v>
      </c>
      <c r="C103" s="8"/>
    </row>
    <row r="104" spans="1:3" x14ac:dyDescent="0.25">
      <c r="A104" s="42">
        <v>9.9</v>
      </c>
      <c r="B104" s="42">
        <v>295.20386612250701</v>
      </c>
      <c r="C104" s="8"/>
    </row>
    <row r="105" spans="1:3" x14ac:dyDescent="0.25">
      <c r="A105" s="42">
        <v>10</v>
      </c>
      <c r="B105" s="42">
        <v>295.77804898470248</v>
      </c>
      <c r="C105" s="8"/>
    </row>
    <row r="106" spans="1:3" x14ac:dyDescent="0.25">
      <c r="A106" s="42">
        <v>10.100000000000001</v>
      </c>
      <c r="B106" s="42">
        <v>297.03703992405644</v>
      </c>
      <c r="C106" s="8"/>
    </row>
    <row r="107" spans="1:3" x14ac:dyDescent="0.25">
      <c r="A107" s="42">
        <v>10.200000000000001</v>
      </c>
      <c r="B107" s="42">
        <v>298.01811705600392</v>
      </c>
      <c r="C107" s="8"/>
    </row>
    <row r="108" spans="1:3" x14ac:dyDescent="0.25">
      <c r="A108" s="42">
        <v>10.3</v>
      </c>
      <c r="B108" s="42">
        <v>299.22471929653301</v>
      </c>
      <c r="C108" s="8"/>
    </row>
    <row r="109" spans="1:3" x14ac:dyDescent="0.25">
      <c r="A109" s="42">
        <v>10.4</v>
      </c>
      <c r="B109" s="42">
        <v>300.01722202795082</v>
      </c>
      <c r="C109" s="8"/>
    </row>
    <row r="110" spans="1:3" x14ac:dyDescent="0.25">
      <c r="A110" s="42">
        <v>10.5</v>
      </c>
      <c r="B110" s="42">
        <v>300.989566033085</v>
      </c>
      <c r="C110" s="8"/>
    </row>
    <row r="111" spans="1:3" x14ac:dyDescent="0.25">
      <c r="A111" s="42">
        <v>10.600000000000001</v>
      </c>
      <c r="B111" s="42">
        <v>302.14114015695441</v>
      </c>
      <c r="C111" s="8"/>
    </row>
    <row r="112" spans="1:3" x14ac:dyDescent="0.25">
      <c r="A112" s="42">
        <v>10.700000000000001</v>
      </c>
      <c r="B112" s="42">
        <v>302.97105196266011</v>
      </c>
      <c r="C112" s="8"/>
    </row>
    <row r="113" spans="1:3" x14ac:dyDescent="0.25">
      <c r="A113" s="42">
        <v>10.8</v>
      </c>
      <c r="B113" s="42">
        <v>303.98009202793747</v>
      </c>
      <c r="C113" s="8"/>
    </row>
    <row r="114" spans="1:3" x14ac:dyDescent="0.25">
      <c r="A114" s="42">
        <v>10.9</v>
      </c>
      <c r="B114" s="42">
        <v>304.71386662406121</v>
      </c>
      <c r="C114" s="8"/>
    </row>
    <row r="115" spans="1:3" x14ac:dyDescent="0.25">
      <c r="A115" s="42">
        <v>11</v>
      </c>
      <c r="B115" s="42">
        <v>305.80787507259959</v>
      </c>
      <c r="C115" s="8"/>
    </row>
    <row r="116" spans="1:3" x14ac:dyDescent="0.25">
      <c r="A116" s="42">
        <v>11.100000000000001</v>
      </c>
      <c r="B116" s="42">
        <v>306.80813108148197</v>
      </c>
      <c r="C116" s="8"/>
    </row>
    <row r="117" spans="1:3" x14ac:dyDescent="0.25">
      <c r="A117" s="42">
        <v>11.200000000000001</v>
      </c>
      <c r="B117" s="42">
        <v>307.66971475957001</v>
      </c>
      <c r="C117" s="8"/>
    </row>
    <row r="118" spans="1:3" x14ac:dyDescent="0.25">
      <c r="A118" s="42">
        <v>11.3</v>
      </c>
      <c r="B118" s="42">
        <v>308.34790993405255</v>
      </c>
      <c r="C118" s="8"/>
    </row>
    <row r="119" spans="1:3" x14ac:dyDescent="0.25">
      <c r="A119" s="42">
        <v>11.4</v>
      </c>
      <c r="B119" s="42">
        <v>309.38481107349605</v>
      </c>
      <c r="C119" s="8"/>
    </row>
    <row r="120" spans="1:3" x14ac:dyDescent="0.25">
      <c r="A120" s="42">
        <v>11.5</v>
      </c>
      <c r="B120" s="42">
        <v>310.28339638921784</v>
      </c>
      <c r="C120" s="8"/>
    </row>
    <row r="121" spans="1:3" x14ac:dyDescent="0.25">
      <c r="A121" s="42">
        <v>11.600000000000001</v>
      </c>
      <c r="B121" s="42">
        <v>311.31425474926493</v>
      </c>
      <c r="C121" s="8"/>
    </row>
    <row r="122" spans="1:3" x14ac:dyDescent="0.25">
      <c r="A122" s="42">
        <v>11.700000000000001</v>
      </c>
      <c r="B122" s="42">
        <v>311.66745301444024</v>
      </c>
      <c r="C122" s="8"/>
    </row>
    <row r="123" spans="1:3" x14ac:dyDescent="0.25">
      <c r="A123" s="42">
        <v>11.8</v>
      </c>
      <c r="B123" s="42">
        <v>312.60303996779572</v>
      </c>
      <c r="C123" s="8"/>
    </row>
    <row r="124" spans="1:3" x14ac:dyDescent="0.25">
      <c r="A124" s="42">
        <v>11.9</v>
      </c>
      <c r="B124" s="42">
        <v>313.53573285540745</v>
      </c>
      <c r="C124" s="8"/>
    </row>
    <row r="125" spans="1:3" x14ac:dyDescent="0.25">
      <c r="A125" s="42">
        <v>12</v>
      </c>
      <c r="B125" s="42">
        <v>314.37589561332607</v>
      </c>
      <c r="C125" s="8"/>
    </row>
    <row r="126" spans="1:3" x14ac:dyDescent="0.25">
      <c r="A126" s="42">
        <v>12.100000000000001</v>
      </c>
      <c r="B126" s="42">
        <v>315.03429961425638</v>
      </c>
      <c r="C126" s="8"/>
    </row>
    <row r="127" spans="1:3" x14ac:dyDescent="0.25">
      <c r="A127" s="42">
        <v>12.200000000000001</v>
      </c>
      <c r="B127" s="42">
        <v>316.13758243253545</v>
      </c>
      <c r="C127" s="8"/>
    </row>
    <row r="128" spans="1:3" x14ac:dyDescent="0.25">
      <c r="A128" s="42">
        <v>12.3</v>
      </c>
      <c r="B128" s="42">
        <v>316.56758509997678</v>
      </c>
      <c r="C128" s="8"/>
    </row>
    <row r="129" spans="1:3" x14ac:dyDescent="0.25">
      <c r="A129" s="42">
        <v>12.4</v>
      </c>
      <c r="B129" s="42">
        <v>317.57580022989151</v>
      </c>
      <c r="C129" s="8"/>
    </row>
    <row r="130" spans="1:3" x14ac:dyDescent="0.25">
      <c r="A130" s="42">
        <v>12.5</v>
      </c>
      <c r="B130" s="42">
        <v>318.0461569669464</v>
      </c>
      <c r="C130" s="8"/>
    </row>
    <row r="131" spans="1:3" x14ac:dyDescent="0.25">
      <c r="A131" s="42">
        <v>12.6</v>
      </c>
      <c r="B131" s="42">
        <v>319.09330013818459</v>
      </c>
      <c r="C131" s="8"/>
    </row>
    <row r="132" spans="1:3" x14ac:dyDescent="0.25">
      <c r="A132" s="42">
        <v>12.7</v>
      </c>
      <c r="B132" s="42">
        <v>319.38139774285168</v>
      </c>
      <c r="C132" s="8"/>
    </row>
    <row r="133" spans="1:3" x14ac:dyDescent="0.25">
      <c r="A133" s="42">
        <v>12.8</v>
      </c>
      <c r="B133" s="42">
        <v>320.46741802583153</v>
      </c>
      <c r="C133" s="8"/>
    </row>
    <row r="134" spans="1:3" x14ac:dyDescent="0.25">
      <c r="A134" s="42">
        <v>12.9</v>
      </c>
      <c r="B134" s="42">
        <v>321.06218048328913</v>
      </c>
      <c r="C134" s="8"/>
    </row>
    <row r="135" spans="1:3" x14ac:dyDescent="0.25">
      <c r="A135" s="42">
        <v>13</v>
      </c>
      <c r="B135" s="42">
        <v>321.74337936146145</v>
      </c>
      <c r="C135" s="8"/>
    </row>
    <row r="136" spans="1:3" x14ac:dyDescent="0.25">
      <c r="A136" s="42">
        <v>13.100000000000001</v>
      </c>
      <c r="B136" s="42">
        <v>322.64348250258286</v>
      </c>
      <c r="C136" s="8"/>
    </row>
    <row r="137" spans="1:3" x14ac:dyDescent="0.25">
      <c r="A137" s="42">
        <v>13.200000000000001</v>
      </c>
      <c r="B137" s="42">
        <v>323.14282968502164</v>
      </c>
      <c r="C137" s="8"/>
    </row>
    <row r="138" spans="1:3" x14ac:dyDescent="0.25">
      <c r="A138" s="42">
        <v>13.3</v>
      </c>
      <c r="B138" s="42">
        <v>323.9492911660688</v>
      </c>
      <c r="C138" s="8"/>
    </row>
    <row r="139" spans="1:3" x14ac:dyDescent="0.25">
      <c r="A139" s="42">
        <v>13.4</v>
      </c>
      <c r="B139" s="42">
        <v>324.62074724621044</v>
      </c>
      <c r="C139" s="8"/>
    </row>
    <row r="140" spans="1:3" x14ac:dyDescent="0.25">
      <c r="A140" s="42">
        <v>13.5</v>
      </c>
      <c r="B140" s="42">
        <v>325.28981855642616</v>
      </c>
      <c r="C140" s="8"/>
    </row>
    <row r="141" spans="1:3" x14ac:dyDescent="0.25">
      <c r="A141" s="42">
        <v>13.600000000000001</v>
      </c>
      <c r="B141" s="42">
        <v>326.08851457271419</v>
      </c>
      <c r="C141" s="8"/>
    </row>
    <row r="142" spans="1:3" x14ac:dyDescent="0.25">
      <c r="A142" s="42">
        <v>13.700000000000001</v>
      </c>
      <c r="B142" s="42">
        <v>326.796615783417</v>
      </c>
      <c r="C142" s="8"/>
    </row>
    <row r="143" spans="1:3" x14ac:dyDescent="0.25">
      <c r="A143" s="42">
        <v>13.8</v>
      </c>
      <c r="B143" s="42">
        <v>327.41442776602543</v>
      </c>
      <c r="C143" s="8"/>
    </row>
    <row r="144" spans="1:3" x14ac:dyDescent="0.25">
      <c r="A144" s="42">
        <v>13.900000000000002</v>
      </c>
      <c r="B144" s="42">
        <v>328.07380720779219</v>
      </c>
      <c r="C144" s="8"/>
    </row>
    <row r="145" spans="1:3" x14ac:dyDescent="0.25">
      <c r="A145" s="42">
        <v>14.000000000000002</v>
      </c>
      <c r="B145" s="42">
        <v>328.68700243929425</v>
      </c>
      <c r="C145" s="8"/>
    </row>
    <row r="146" spans="1:3" x14ac:dyDescent="0.25">
      <c r="A146" s="42">
        <v>14.100000000000001</v>
      </c>
      <c r="B146" s="42">
        <v>329.38541178154816</v>
      </c>
      <c r="C146" s="8"/>
    </row>
    <row r="147" spans="1:3" x14ac:dyDescent="0.25">
      <c r="A147" s="42">
        <v>14.200000000000001</v>
      </c>
      <c r="B147" s="42">
        <v>329.99393933236195</v>
      </c>
      <c r="C147" s="8"/>
    </row>
    <row r="148" spans="1:3" x14ac:dyDescent="0.25">
      <c r="A148" s="42">
        <v>14.3</v>
      </c>
      <c r="B148" s="42">
        <v>330.86206388197456</v>
      </c>
      <c r="C148" s="8"/>
    </row>
    <row r="149" spans="1:3" x14ac:dyDescent="0.25">
      <c r="A149" s="42">
        <v>14.400000000000002</v>
      </c>
      <c r="B149" s="42">
        <v>331.11695425767914</v>
      </c>
      <c r="C149" s="8"/>
    </row>
    <row r="150" spans="1:3" x14ac:dyDescent="0.25">
      <c r="A150" s="42">
        <v>14.499999999999998</v>
      </c>
      <c r="B150" s="42">
        <v>331.84936931265952</v>
      </c>
      <c r="C150" s="8"/>
    </row>
    <row r="151" spans="1:3" x14ac:dyDescent="0.25">
      <c r="A151" s="42">
        <v>14.600000000000001</v>
      </c>
      <c r="B151" s="42">
        <v>332.66618360508295</v>
      </c>
      <c r="C151" s="8"/>
    </row>
    <row r="152" spans="1:3" x14ac:dyDescent="0.25">
      <c r="A152" s="42">
        <v>14.700000000000003</v>
      </c>
      <c r="B152" s="42">
        <v>332.87200462519723</v>
      </c>
      <c r="C152" s="8"/>
    </row>
    <row r="153" spans="1:3" x14ac:dyDescent="0.25">
      <c r="A153" s="42">
        <v>14.800000000000002</v>
      </c>
      <c r="B153" s="42">
        <v>333.46698750018254</v>
      </c>
      <c r="C153" s="8"/>
    </row>
    <row r="154" spans="1:3" x14ac:dyDescent="0.25">
      <c r="A154" s="42">
        <v>14.899999999999999</v>
      </c>
      <c r="B154" s="42">
        <v>334.27639283491948</v>
      </c>
      <c r="C154" s="8"/>
    </row>
    <row r="155" spans="1:3" x14ac:dyDescent="0.25">
      <c r="A155" s="42">
        <v>15</v>
      </c>
      <c r="B155" s="42">
        <v>334.99642567403419</v>
      </c>
      <c r="C155" s="8"/>
    </row>
    <row r="156" spans="1:3" x14ac:dyDescent="0.25">
      <c r="A156" s="42">
        <v>15.100000000000001</v>
      </c>
      <c r="B156" s="42">
        <v>335.58415238007831</v>
      </c>
      <c r="C156" s="8"/>
    </row>
    <row r="157" spans="1:3" x14ac:dyDescent="0.25">
      <c r="A157" s="42">
        <v>15.200000000000003</v>
      </c>
      <c r="B157" s="42">
        <v>336.12640789000255</v>
      </c>
      <c r="C157" s="8"/>
    </row>
    <row r="158" spans="1:3" x14ac:dyDescent="0.25">
      <c r="A158" s="42">
        <v>15.299999999999999</v>
      </c>
      <c r="B158" s="42">
        <v>336.62334499255246</v>
      </c>
      <c r="C158" s="8"/>
    </row>
    <row r="159" spans="1:3" x14ac:dyDescent="0.25">
      <c r="A159" s="42">
        <v>15.4</v>
      </c>
      <c r="B159" s="42">
        <v>337.3336350336366</v>
      </c>
      <c r="C159" s="8"/>
    </row>
    <row r="160" spans="1:3" x14ac:dyDescent="0.25">
      <c r="A160" s="42">
        <v>15.5</v>
      </c>
      <c r="B160" s="42">
        <v>338.08437208307953</v>
      </c>
      <c r="C160" s="8"/>
    </row>
    <row r="161" spans="1:3" x14ac:dyDescent="0.25">
      <c r="A161" s="42">
        <v>15.600000000000003</v>
      </c>
      <c r="B161" s="42">
        <v>338.14466571262176</v>
      </c>
      <c r="C161" s="8"/>
    </row>
    <row r="162" spans="1:3" x14ac:dyDescent="0.25">
      <c r="A162" s="42">
        <v>15.7</v>
      </c>
      <c r="B162" s="42">
        <v>338.5473678409524</v>
      </c>
      <c r="C162" s="8"/>
    </row>
    <row r="163" spans="1:3" x14ac:dyDescent="0.25">
      <c r="A163" s="42">
        <v>15.8</v>
      </c>
      <c r="B163" s="42">
        <v>339.5485524053085</v>
      </c>
      <c r="C163" s="8"/>
    </row>
    <row r="164" spans="1:3" x14ac:dyDescent="0.25">
      <c r="A164" s="42">
        <v>15.900000000000002</v>
      </c>
      <c r="B164" s="42">
        <v>339.60413634499895</v>
      </c>
      <c r="C164" s="8"/>
    </row>
    <row r="165" spans="1:3" x14ac:dyDescent="0.25">
      <c r="A165" s="42">
        <v>16</v>
      </c>
      <c r="B165" s="42">
        <v>340.38593411184274</v>
      </c>
      <c r="C165" s="8"/>
    </row>
    <row r="166" spans="1:3" x14ac:dyDescent="0.25">
      <c r="A166" s="42">
        <v>16.100000000000001</v>
      </c>
      <c r="B166" s="42">
        <v>340.65218064265065</v>
      </c>
      <c r="C166" s="8"/>
    </row>
    <row r="167" spans="1:3" x14ac:dyDescent="0.25">
      <c r="A167" s="42">
        <v>16.2</v>
      </c>
      <c r="B167" s="42">
        <v>341.0875732349993</v>
      </c>
      <c r="C167" s="8"/>
    </row>
    <row r="168" spans="1:3" x14ac:dyDescent="0.25">
      <c r="A168" s="42">
        <v>16.3</v>
      </c>
      <c r="B168" s="42">
        <v>341.86201297373822</v>
      </c>
      <c r="C168" s="8"/>
    </row>
    <row r="169" spans="1:3" x14ac:dyDescent="0.25">
      <c r="A169" s="42">
        <v>16.400000000000002</v>
      </c>
      <c r="B169" s="42">
        <v>342.46335198439317</v>
      </c>
      <c r="C169" s="8"/>
    </row>
    <row r="170" spans="1:3" x14ac:dyDescent="0.25">
      <c r="A170" s="42">
        <v>16.5</v>
      </c>
      <c r="B170" s="42">
        <v>343.0197800243281</v>
      </c>
      <c r="C170" s="8"/>
    </row>
    <row r="171" spans="1:3" x14ac:dyDescent="0.25">
      <c r="A171" s="42">
        <v>16.600000000000001</v>
      </c>
      <c r="B171" s="42">
        <v>343.06422189895244</v>
      </c>
      <c r="C171" s="8"/>
    </row>
    <row r="172" spans="1:3" x14ac:dyDescent="0.25">
      <c r="A172" s="42">
        <v>16.7</v>
      </c>
      <c r="B172" s="42">
        <v>343.6166952723442</v>
      </c>
      <c r="C172" s="8"/>
    </row>
    <row r="173" spans="1:3" x14ac:dyDescent="0.25">
      <c r="A173" s="42">
        <v>16.8</v>
      </c>
      <c r="B173" s="42">
        <v>343.95501867472967</v>
      </c>
      <c r="C173" s="8"/>
    </row>
    <row r="174" spans="1:3" x14ac:dyDescent="0.25">
      <c r="A174" s="42">
        <v>16.900000000000002</v>
      </c>
      <c r="B174" s="42">
        <v>344.75711576930775</v>
      </c>
      <c r="C174" s="8"/>
    </row>
    <row r="175" spans="1:3" x14ac:dyDescent="0.25">
      <c r="A175" s="42">
        <v>17</v>
      </c>
      <c r="B175" s="42">
        <v>344.92224550486401</v>
      </c>
      <c r="C175" s="8"/>
    </row>
    <row r="176" spans="1:3" x14ac:dyDescent="0.25">
      <c r="A176" s="42">
        <v>17.100000000000001</v>
      </c>
      <c r="B176" s="42">
        <v>345.42377404855739</v>
      </c>
      <c r="C176" s="8"/>
    </row>
    <row r="177" spans="1:3" x14ac:dyDescent="0.25">
      <c r="A177" s="42">
        <v>17.2</v>
      </c>
      <c r="B177" s="42">
        <v>345.88095184693054</v>
      </c>
      <c r="C177" s="8"/>
    </row>
    <row r="178" spans="1:3" x14ac:dyDescent="0.25">
      <c r="A178" s="42">
        <v>17.3</v>
      </c>
      <c r="B178" s="42">
        <v>346.25181292458865</v>
      </c>
      <c r="C178" s="8"/>
    </row>
    <row r="179" spans="1:3" x14ac:dyDescent="0.25">
      <c r="A179" s="42">
        <v>17.400000000000002</v>
      </c>
      <c r="B179" s="42">
        <v>346.662866362697</v>
      </c>
      <c r="C179" s="8"/>
    </row>
    <row r="180" spans="1:3" x14ac:dyDescent="0.25">
      <c r="A180" s="42">
        <v>17.5</v>
      </c>
      <c r="B180" s="42">
        <v>347.11395937250995</v>
      </c>
      <c r="C180" s="8"/>
    </row>
    <row r="181" spans="1:3" x14ac:dyDescent="0.25">
      <c r="A181" s="42">
        <v>17.600000000000001</v>
      </c>
      <c r="B181" s="42">
        <v>347.35314331291551</v>
      </c>
      <c r="C181" s="8"/>
    </row>
    <row r="182" spans="1:3" x14ac:dyDescent="0.25">
      <c r="A182" s="42">
        <v>17.7</v>
      </c>
      <c r="B182" s="42">
        <v>347.67458744832902</v>
      </c>
      <c r="C182" s="8"/>
    </row>
    <row r="183" spans="1:3" x14ac:dyDescent="0.25">
      <c r="A183" s="42">
        <v>17.8</v>
      </c>
      <c r="B183" s="42">
        <v>348.20357854995257</v>
      </c>
      <c r="C183" s="8"/>
    </row>
    <row r="184" spans="1:3" x14ac:dyDescent="0.25">
      <c r="A184" s="42">
        <v>17.900000000000002</v>
      </c>
      <c r="B184" s="42">
        <v>348.56303399421756</v>
      </c>
      <c r="C184" s="8"/>
    </row>
    <row r="185" spans="1:3" x14ac:dyDescent="0.25">
      <c r="A185" s="42">
        <v>18</v>
      </c>
      <c r="B185" s="42">
        <v>349.04590073557642</v>
      </c>
      <c r="C185" s="8"/>
    </row>
    <row r="186" spans="1:3" x14ac:dyDescent="0.25">
      <c r="A186" s="42">
        <v>18.100000000000001</v>
      </c>
      <c r="B186" s="42">
        <v>349.27631846042334</v>
      </c>
      <c r="C186" s="8"/>
    </row>
    <row r="187" spans="1:3" x14ac:dyDescent="0.25">
      <c r="A187" s="42">
        <v>18.2</v>
      </c>
      <c r="B187" s="42">
        <v>349.79678907397914</v>
      </c>
      <c r="C187" s="8"/>
    </row>
    <row r="188" spans="1:3" x14ac:dyDescent="0.25">
      <c r="A188" s="42">
        <v>18.3</v>
      </c>
      <c r="B188" s="42">
        <v>350.06531996684095</v>
      </c>
      <c r="C188" s="8"/>
    </row>
    <row r="189" spans="1:3" x14ac:dyDescent="0.25">
      <c r="A189" s="42">
        <v>18.400000000000002</v>
      </c>
      <c r="B189" s="42">
        <v>350.41529618140231</v>
      </c>
      <c r="C189" s="8"/>
    </row>
    <row r="190" spans="1:3" x14ac:dyDescent="0.25">
      <c r="A190" s="42">
        <v>18.5</v>
      </c>
      <c r="B190" s="42">
        <v>350.80490453101396</v>
      </c>
      <c r="C190" s="8"/>
    </row>
    <row r="191" spans="1:3" x14ac:dyDescent="0.25">
      <c r="A191" s="42">
        <v>18.600000000000001</v>
      </c>
      <c r="B191" s="42">
        <v>351.35836226566039</v>
      </c>
      <c r="C191" s="8"/>
    </row>
    <row r="192" spans="1:3" x14ac:dyDescent="0.25">
      <c r="A192" s="42">
        <v>18.7</v>
      </c>
      <c r="B192" s="42">
        <v>351.57818923042265</v>
      </c>
      <c r="C192" s="8"/>
    </row>
    <row r="193" spans="1:3" x14ac:dyDescent="0.25">
      <c r="A193" s="42">
        <v>18.8</v>
      </c>
      <c r="B193" s="42">
        <v>351.75509147815467</v>
      </c>
      <c r="C193" s="8"/>
    </row>
    <row r="194" spans="1:3" x14ac:dyDescent="0.25">
      <c r="A194" s="42">
        <v>18.900000000000002</v>
      </c>
      <c r="B194" s="42">
        <v>352.26095681508258</v>
      </c>
      <c r="C194" s="8"/>
    </row>
    <row r="195" spans="1:3" x14ac:dyDescent="0.25">
      <c r="A195" s="42">
        <v>19</v>
      </c>
      <c r="B195" s="42">
        <v>352.76453924124814</v>
      </c>
      <c r="C195" s="8"/>
    </row>
    <row r="196" spans="1:3" x14ac:dyDescent="0.25">
      <c r="A196" s="42">
        <v>19.100000000000001</v>
      </c>
      <c r="B196" s="42">
        <v>352.81261640830752</v>
      </c>
      <c r="C196" s="8"/>
    </row>
    <row r="197" spans="1:3" x14ac:dyDescent="0.25">
      <c r="A197" s="42">
        <v>19.2</v>
      </c>
      <c r="B197" s="42">
        <v>353.18873993209081</v>
      </c>
      <c r="C197" s="8"/>
    </row>
    <row r="198" spans="1:3" x14ac:dyDescent="0.25">
      <c r="A198" s="42">
        <v>19.3</v>
      </c>
      <c r="B198" s="42">
        <v>353.56288612260232</v>
      </c>
      <c r="C198" s="8"/>
    </row>
    <row r="199" spans="1:3" x14ac:dyDescent="0.25">
      <c r="A199" s="42">
        <v>19.400000000000002</v>
      </c>
      <c r="B199" s="42">
        <v>353.77085800815331</v>
      </c>
      <c r="C199" s="8"/>
    </row>
    <row r="200" spans="1:3" x14ac:dyDescent="0.25">
      <c r="A200" s="42">
        <v>19.5</v>
      </c>
      <c r="B200" s="42">
        <v>354.14125325044893</v>
      </c>
      <c r="C200" s="8"/>
    </row>
    <row r="201" spans="1:3" x14ac:dyDescent="0.25">
      <c r="A201" s="42">
        <v>19.600000000000001</v>
      </c>
      <c r="B201" s="42">
        <v>354.38682900819697</v>
      </c>
      <c r="C201" s="8"/>
    </row>
    <row r="202" spans="1:3" x14ac:dyDescent="0.25">
      <c r="A202" s="42">
        <v>19.7</v>
      </c>
      <c r="B202" s="42">
        <v>354.67162946434104</v>
      </c>
      <c r="C202" s="8"/>
    </row>
    <row r="203" spans="1:3" x14ac:dyDescent="0.25">
      <c r="A203" s="42">
        <v>19.8</v>
      </c>
      <c r="B203" s="42">
        <v>355.11803840392099</v>
      </c>
      <c r="C203" s="8"/>
    </row>
    <row r="204" spans="1:3" x14ac:dyDescent="0.25">
      <c r="A204" s="42">
        <v>19.900000000000002</v>
      </c>
      <c r="B204" s="42">
        <v>355.23590953179576</v>
      </c>
      <c r="C204" s="8"/>
    </row>
    <row r="205" spans="1:3" x14ac:dyDescent="0.25">
      <c r="A205" s="42">
        <v>20</v>
      </c>
      <c r="B205" s="42">
        <v>355.31167081594901</v>
      </c>
      <c r="C205" s="8"/>
    </row>
    <row r="206" spans="1:3" x14ac:dyDescent="0.25">
      <c r="A206" s="42">
        <v>20.100000000000001</v>
      </c>
      <c r="B206" s="42">
        <v>355.7117096677735</v>
      </c>
      <c r="C206" s="8"/>
    </row>
    <row r="207" spans="1:3" x14ac:dyDescent="0.25">
      <c r="A207" s="42">
        <v>20.2</v>
      </c>
      <c r="B207" s="42">
        <v>356.19095293969878</v>
      </c>
      <c r="C207" s="8"/>
    </row>
    <row r="208" spans="1:3" x14ac:dyDescent="0.25">
      <c r="A208" s="42">
        <v>20.3</v>
      </c>
      <c r="B208" s="42">
        <v>356.18082278062775</v>
      </c>
      <c r="C208" s="8"/>
    </row>
    <row r="209" spans="1:3" x14ac:dyDescent="0.25">
      <c r="A209" s="42">
        <v>20.400000000000002</v>
      </c>
      <c r="B209" s="42">
        <v>356.21017196786187</v>
      </c>
      <c r="C209" s="8"/>
    </row>
    <row r="210" spans="1:3" x14ac:dyDescent="0.25">
      <c r="A210" s="42">
        <v>20.5</v>
      </c>
      <c r="B210" s="42">
        <v>356.7242269054039</v>
      </c>
      <c r="C210" s="8"/>
    </row>
    <row r="211" spans="1:3" x14ac:dyDescent="0.25">
      <c r="A211" s="42">
        <v>20.6</v>
      </c>
      <c r="B211" s="42">
        <v>357.03370663331611</v>
      </c>
      <c r="C211" s="8"/>
    </row>
    <row r="212" spans="1:3" x14ac:dyDescent="0.25">
      <c r="A212" s="42">
        <v>20.7</v>
      </c>
      <c r="B212" s="42">
        <v>357.05860077860734</v>
      </c>
      <c r="C212" s="8"/>
    </row>
    <row r="213" spans="1:3" x14ac:dyDescent="0.25">
      <c r="A213" s="42">
        <v>20.8</v>
      </c>
      <c r="B213" s="42">
        <v>357.24367737904441</v>
      </c>
      <c r="C213" s="8"/>
    </row>
    <row r="214" spans="1:3" x14ac:dyDescent="0.25">
      <c r="A214" s="42">
        <v>20.900000000000002</v>
      </c>
      <c r="B214" s="42">
        <v>357.70918117723221</v>
      </c>
      <c r="C214" s="8"/>
    </row>
    <row r="215" spans="1:3" x14ac:dyDescent="0.25">
      <c r="A215" s="42"/>
      <c r="B215" s="42"/>
      <c r="C215" s="8"/>
    </row>
    <row r="216" spans="1:3" x14ac:dyDescent="0.25">
      <c r="A216" s="42"/>
      <c r="B216" s="42"/>
      <c r="C216" s="8"/>
    </row>
    <row r="217" spans="1:3" x14ac:dyDescent="0.25">
      <c r="A217" s="42"/>
      <c r="B217" s="42"/>
      <c r="C217" s="8"/>
    </row>
    <row r="218" spans="1:3" x14ac:dyDescent="0.25">
      <c r="A218" s="42"/>
      <c r="B218" s="42"/>
      <c r="C218" s="8"/>
    </row>
    <row r="219" spans="1:3" x14ac:dyDescent="0.25">
      <c r="A219" s="42"/>
      <c r="B219" s="42"/>
      <c r="C219" s="8"/>
    </row>
    <row r="220" spans="1:3" x14ac:dyDescent="0.25">
      <c r="A220" s="42"/>
      <c r="B220" s="42"/>
      <c r="C220" s="8"/>
    </row>
    <row r="221" spans="1:3" x14ac:dyDescent="0.25">
      <c r="A221" s="42"/>
      <c r="B221" s="42"/>
      <c r="C221" s="8"/>
    </row>
    <row r="222" spans="1:3" x14ac:dyDescent="0.25">
      <c r="A222" s="42"/>
      <c r="B222" s="42"/>
      <c r="C222" s="8"/>
    </row>
    <row r="223" spans="1:3" x14ac:dyDescent="0.25">
      <c r="A223" s="42"/>
      <c r="B223" s="42"/>
      <c r="C223" s="8"/>
    </row>
    <row r="224" spans="1:3" x14ac:dyDescent="0.25">
      <c r="A224" s="42"/>
      <c r="B224" s="42"/>
      <c r="C224" s="8"/>
    </row>
    <row r="225" spans="1:3" x14ac:dyDescent="0.25">
      <c r="A225" s="42"/>
      <c r="B225" s="42"/>
      <c r="C225" s="8"/>
    </row>
    <row r="226" spans="1:3" x14ac:dyDescent="0.25">
      <c r="A226" s="42"/>
      <c r="B226" s="42"/>
      <c r="C226" s="8"/>
    </row>
    <row r="227" spans="1:3" x14ac:dyDescent="0.25">
      <c r="A227" s="42"/>
      <c r="B227" s="42"/>
      <c r="C227" s="8"/>
    </row>
    <row r="228" spans="1:3" x14ac:dyDescent="0.25">
      <c r="A228" s="42"/>
      <c r="B228" s="42"/>
      <c r="C228" s="8"/>
    </row>
    <row r="229" spans="1:3" x14ac:dyDescent="0.25">
      <c r="A229" s="42"/>
      <c r="B229" s="42"/>
      <c r="C229" s="8"/>
    </row>
    <row r="230" spans="1:3" x14ac:dyDescent="0.25">
      <c r="A230" s="42"/>
      <c r="B230" s="42"/>
      <c r="C230" s="8"/>
    </row>
    <row r="231" spans="1:3" x14ac:dyDescent="0.25">
      <c r="A231" s="42"/>
      <c r="B231" s="42"/>
      <c r="C231" s="8"/>
    </row>
    <row r="232" spans="1:3" x14ac:dyDescent="0.25">
      <c r="A232" s="42"/>
      <c r="B232" s="42"/>
      <c r="C232" s="8"/>
    </row>
    <row r="233" spans="1:3" x14ac:dyDescent="0.25">
      <c r="A233" s="42"/>
      <c r="B233" s="42"/>
      <c r="C233" s="8"/>
    </row>
    <row r="234" spans="1:3" x14ac:dyDescent="0.25">
      <c r="A234" s="42"/>
      <c r="B234" s="42"/>
      <c r="C234" s="8"/>
    </row>
    <row r="235" spans="1:3" x14ac:dyDescent="0.25">
      <c r="A235" s="42"/>
      <c r="B235" s="42"/>
      <c r="C235" s="8"/>
    </row>
    <row r="236" spans="1:3" x14ac:dyDescent="0.25">
      <c r="A236" s="42"/>
      <c r="B236" s="42"/>
      <c r="C236" s="8"/>
    </row>
    <row r="237" spans="1:3" x14ac:dyDescent="0.25">
      <c r="A237" s="42"/>
      <c r="B237" s="42"/>
      <c r="C237" s="8"/>
    </row>
    <row r="238" spans="1:3" x14ac:dyDescent="0.25">
      <c r="A238" s="42"/>
      <c r="B238" s="42"/>
      <c r="C238" s="8"/>
    </row>
    <row r="239" spans="1:3" x14ac:dyDescent="0.2">
      <c r="A239" s="43"/>
      <c r="B239" s="44"/>
      <c r="C239" s="8"/>
    </row>
    <row r="240" spans="1:3" x14ac:dyDescent="0.2">
      <c r="A240" s="43"/>
      <c r="B240" s="44"/>
      <c r="C240" s="8"/>
    </row>
    <row r="241" spans="1:3" x14ac:dyDescent="0.2">
      <c r="A241" s="43"/>
      <c r="B241" s="44"/>
      <c r="C241" s="8"/>
    </row>
    <row r="242" spans="1:3" x14ac:dyDescent="0.2">
      <c r="A242" s="43"/>
      <c r="B242" s="44"/>
      <c r="C242" s="8"/>
    </row>
    <row r="243" spans="1:3" x14ac:dyDescent="0.2">
      <c r="A243" s="43"/>
      <c r="B243" s="44"/>
      <c r="C243" s="8"/>
    </row>
    <row r="244" spans="1:3" x14ac:dyDescent="0.2">
      <c r="A244" s="43"/>
      <c r="B244" s="44"/>
      <c r="C244" s="8"/>
    </row>
    <row r="245" spans="1:3" x14ac:dyDescent="0.2">
      <c r="A245" s="43"/>
      <c r="B245" s="44"/>
      <c r="C245" s="8"/>
    </row>
    <row r="246" spans="1:3" x14ac:dyDescent="0.2">
      <c r="A246" s="43"/>
      <c r="B246" s="44"/>
      <c r="C246" s="8"/>
    </row>
    <row r="247" spans="1:3" x14ac:dyDescent="0.2">
      <c r="A247" s="43"/>
      <c r="B247" s="44"/>
      <c r="C247" s="8"/>
    </row>
    <row r="248" spans="1:3" x14ac:dyDescent="0.2">
      <c r="A248" s="43"/>
      <c r="B248" s="44"/>
      <c r="C248" s="8"/>
    </row>
    <row r="249" spans="1:3" x14ac:dyDescent="0.2">
      <c r="A249" s="43"/>
      <c r="B249" s="44"/>
      <c r="C249" s="8"/>
    </row>
    <row r="250" spans="1:3" x14ac:dyDescent="0.2">
      <c r="A250" s="43"/>
      <c r="B250" s="44"/>
      <c r="C250" s="8"/>
    </row>
    <row r="251" spans="1:3" x14ac:dyDescent="0.2">
      <c r="A251" s="43"/>
      <c r="B251" s="44"/>
      <c r="C251" s="8"/>
    </row>
    <row r="252" spans="1:3" x14ac:dyDescent="0.2">
      <c r="A252" s="43"/>
      <c r="B252" s="44"/>
      <c r="C252" s="8"/>
    </row>
    <row r="253" spans="1:3" x14ac:dyDescent="0.2">
      <c r="A253" s="43"/>
      <c r="B253" s="44"/>
      <c r="C253" s="8"/>
    </row>
    <row r="254" spans="1:3" x14ac:dyDescent="0.2">
      <c r="A254" s="43"/>
      <c r="B254" s="44"/>
      <c r="C254" s="8"/>
    </row>
    <row r="255" spans="1:3" x14ac:dyDescent="0.2">
      <c r="A255" s="43"/>
      <c r="B255" s="44"/>
      <c r="C255" s="8"/>
    </row>
    <row r="256" spans="1:3" x14ac:dyDescent="0.2">
      <c r="A256" s="43"/>
      <c r="B256" s="44"/>
      <c r="C256" s="8"/>
    </row>
    <row r="257" spans="1:3" x14ac:dyDescent="0.2">
      <c r="A257" s="43"/>
      <c r="B257" s="44"/>
      <c r="C257" s="8"/>
    </row>
    <row r="258" spans="1:3" x14ac:dyDescent="0.2">
      <c r="A258" s="43"/>
      <c r="B258" s="44"/>
      <c r="C258" s="8"/>
    </row>
    <row r="259" spans="1:3" x14ac:dyDescent="0.2">
      <c r="A259" s="43"/>
      <c r="B259" s="44"/>
      <c r="C259" s="8"/>
    </row>
    <row r="260" spans="1:3" x14ac:dyDescent="0.2">
      <c r="A260" s="43"/>
      <c r="B260" s="44"/>
      <c r="C260" s="8"/>
    </row>
    <row r="261" spans="1:3" x14ac:dyDescent="0.2">
      <c r="A261" s="43"/>
      <c r="B261" s="44"/>
      <c r="C261" s="8"/>
    </row>
    <row r="262" spans="1:3" x14ac:dyDescent="0.2">
      <c r="A262" s="43"/>
      <c r="B262" s="44"/>
      <c r="C262" s="8"/>
    </row>
    <row r="263" spans="1:3" x14ac:dyDescent="0.2">
      <c r="A263" s="43"/>
      <c r="B263" s="44"/>
      <c r="C263" s="8"/>
    </row>
    <row r="264" spans="1:3" x14ac:dyDescent="0.2">
      <c r="A264" s="43"/>
      <c r="B264" s="44"/>
      <c r="C264" s="8"/>
    </row>
    <row r="265" spans="1:3" x14ac:dyDescent="0.2">
      <c r="A265" s="43"/>
      <c r="B265" s="44"/>
      <c r="C265" s="8"/>
    </row>
    <row r="266" spans="1:3" x14ac:dyDescent="0.2">
      <c r="A266" s="43"/>
      <c r="B266" s="44"/>
      <c r="C266" s="8"/>
    </row>
    <row r="267" spans="1:3" x14ac:dyDescent="0.2">
      <c r="A267" s="43"/>
      <c r="B267" s="44"/>
      <c r="C267" s="8"/>
    </row>
    <row r="268" spans="1:3" x14ac:dyDescent="0.2">
      <c r="A268" s="43"/>
      <c r="B268" s="44"/>
      <c r="C268" s="8"/>
    </row>
    <row r="269" spans="1:3" x14ac:dyDescent="0.2">
      <c r="A269" s="43"/>
      <c r="B269" s="44"/>
      <c r="C269" s="8"/>
    </row>
    <row r="270" spans="1:3" x14ac:dyDescent="0.2">
      <c r="A270" s="43"/>
      <c r="B270" s="44"/>
      <c r="C270" s="8"/>
    </row>
    <row r="271" spans="1:3" x14ac:dyDescent="0.2">
      <c r="A271" s="43"/>
      <c r="B271" s="44"/>
      <c r="C271" s="8"/>
    </row>
    <row r="272" spans="1:3" x14ac:dyDescent="0.2">
      <c r="A272" s="43"/>
      <c r="B272" s="44"/>
      <c r="C272" s="8"/>
    </row>
    <row r="273" spans="1:3" x14ac:dyDescent="0.2">
      <c r="A273" s="43"/>
      <c r="B273" s="44"/>
      <c r="C273" s="8"/>
    </row>
    <row r="274" spans="1:3" x14ac:dyDescent="0.2">
      <c r="A274" s="43"/>
      <c r="B274" s="44"/>
      <c r="C274" s="8"/>
    </row>
    <row r="275" spans="1:3" x14ac:dyDescent="0.2">
      <c r="A275" s="43"/>
      <c r="B275" s="44"/>
      <c r="C275" s="8"/>
    </row>
    <row r="276" spans="1:3" x14ac:dyDescent="0.2">
      <c r="A276" s="43"/>
      <c r="B276" s="44"/>
      <c r="C276" s="8"/>
    </row>
    <row r="277" spans="1:3" x14ac:dyDescent="0.2">
      <c r="A277" s="43"/>
      <c r="B277" s="44"/>
      <c r="C277" s="8"/>
    </row>
    <row r="278" spans="1:3" x14ac:dyDescent="0.2">
      <c r="A278" s="43"/>
      <c r="B278" s="44"/>
      <c r="C278" s="8"/>
    </row>
    <row r="279" spans="1:3" x14ac:dyDescent="0.2">
      <c r="A279" s="43"/>
      <c r="B279" s="44"/>
      <c r="C279" s="8"/>
    </row>
    <row r="280" spans="1:3" x14ac:dyDescent="0.2">
      <c r="A280" s="43"/>
      <c r="B280" s="44"/>
      <c r="C280" s="8"/>
    </row>
    <row r="281" spans="1:3" x14ac:dyDescent="0.2">
      <c r="A281" s="43"/>
      <c r="B281" s="44"/>
      <c r="C281" s="8"/>
    </row>
    <row r="282" spans="1:3" x14ac:dyDescent="0.2">
      <c r="A282" s="43"/>
      <c r="B282" s="44"/>
      <c r="C282" s="8"/>
    </row>
    <row r="283" spans="1:3" x14ac:dyDescent="0.2">
      <c r="A283" s="43"/>
      <c r="B283" s="44"/>
      <c r="C283" s="8"/>
    </row>
    <row r="284" spans="1:3" x14ac:dyDescent="0.2">
      <c r="A284" s="43"/>
      <c r="B284" s="44"/>
      <c r="C284" s="8"/>
    </row>
    <row r="285" spans="1:3" x14ac:dyDescent="0.2">
      <c r="A285" s="43"/>
      <c r="B285" s="44"/>
      <c r="C285" s="8"/>
    </row>
    <row r="286" spans="1:3" x14ac:dyDescent="0.2">
      <c r="A286" s="43"/>
      <c r="B286" s="44"/>
      <c r="C286" s="8"/>
    </row>
    <row r="287" spans="1:3" x14ac:dyDescent="0.2">
      <c r="A287" s="43"/>
      <c r="B287" s="44"/>
      <c r="C287" s="8"/>
    </row>
    <row r="288" spans="1:3" x14ac:dyDescent="0.2">
      <c r="A288" s="43"/>
      <c r="B288" s="44"/>
      <c r="C288" s="8"/>
    </row>
    <row r="289" spans="1:3" x14ac:dyDescent="0.2">
      <c r="A289" s="43"/>
      <c r="B289" s="44"/>
      <c r="C289" s="8"/>
    </row>
    <row r="290" spans="1:3" x14ac:dyDescent="0.2">
      <c r="A290" s="43"/>
      <c r="B290" s="44"/>
      <c r="C290" s="8"/>
    </row>
    <row r="291" spans="1:3" x14ac:dyDescent="0.2">
      <c r="A291" s="43"/>
      <c r="B291" s="44"/>
      <c r="C291" s="8"/>
    </row>
    <row r="292" spans="1:3" x14ac:dyDescent="0.2">
      <c r="A292" s="43"/>
      <c r="B292" s="44"/>
      <c r="C292" s="8"/>
    </row>
    <row r="293" spans="1:3" x14ac:dyDescent="0.2">
      <c r="A293" s="43"/>
      <c r="B293" s="44"/>
      <c r="C293" s="8"/>
    </row>
    <row r="294" spans="1:3" x14ac:dyDescent="0.2">
      <c r="A294" s="43"/>
      <c r="B294" s="44"/>
      <c r="C294" s="8"/>
    </row>
    <row r="295" spans="1:3" x14ac:dyDescent="0.2">
      <c r="A295" s="43"/>
      <c r="B295" s="44"/>
      <c r="C295" s="8"/>
    </row>
    <row r="296" spans="1:3" x14ac:dyDescent="0.2">
      <c r="A296" s="43"/>
      <c r="B296" s="44"/>
      <c r="C296" s="8"/>
    </row>
    <row r="297" spans="1:3" x14ac:dyDescent="0.2">
      <c r="A297" s="43"/>
      <c r="B297" s="44"/>
      <c r="C297" s="8"/>
    </row>
    <row r="298" spans="1:3" x14ac:dyDescent="0.2">
      <c r="A298" s="43"/>
      <c r="B298" s="44"/>
      <c r="C298" s="8"/>
    </row>
    <row r="299" spans="1:3" x14ac:dyDescent="0.2">
      <c r="A299" s="43"/>
      <c r="B299" s="44"/>
      <c r="C299" s="8"/>
    </row>
    <row r="300" spans="1:3" x14ac:dyDescent="0.2">
      <c r="A300" s="43"/>
      <c r="B300" s="44"/>
      <c r="C300" s="8"/>
    </row>
    <row r="301" spans="1:3" x14ac:dyDescent="0.2">
      <c r="A301" s="43"/>
      <c r="B301" s="44"/>
      <c r="C301" s="8"/>
    </row>
    <row r="302" spans="1:3" x14ac:dyDescent="0.2">
      <c r="A302" s="43"/>
      <c r="B302" s="44"/>
      <c r="C302" s="8"/>
    </row>
    <row r="303" spans="1:3" x14ac:dyDescent="0.2">
      <c r="A303" s="43"/>
      <c r="B303" s="44"/>
      <c r="C303" s="8"/>
    </row>
    <row r="304" spans="1:3" x14ac:dyDescent="0.2">
      <c r="A304" s="43"/>
      <c r="B304" s="44"/>
      <c r="C304" s="8"/>
    </row>
    <row r="305" spans="1:3" x14ac:dyDescent="0.2">
      <c r="A305" s="43"/>
      <c r="B305" s="44"/>
      <c r="C305" s="8"/>
    </row>
    <row r="306" spans="1:3" x14ac:dyDescent="0.2">
      <c r="A306" s="43"/>
      <c r="B306" s="44"/>
      <c r="C306" s="8"/>
    </row>
    <row r="307" spans="1:3" x14ac:dyDescent="0.2">
      <c r="A307" s="43"/>
      <c r="B307" s="44"/>
      <c r="C307" s="8"/>
    </row>
    <row r="308" spans="1:3" x14ac:dyDescent="0.2">
      <c r="A308" s="43"/>
      <c r="B308" s="44"/>
      <c r="C308" s="8"/>
    </row>
    <row r="309" spans="1:3" x14ac:dyDescent="0.2">
      <c r="A309" s="43"/>
      <c r="B309" s="44"/>
      <c r="C309" s="8"/>
    </row>
    <row r="310" spans="1:3" x14ac:dyDescent="0.2">
      <c r="A310" s="43"/>
      <c r="B310" s="44"/>
      <c r="C310" s="8"/>
    </row>
    <row r="311" spans="1:3" x14ac:dyDescent="0.2">
      <c r="A311" s="43"/>
      <c r="B311" s="44"/>
      <c r="C311" s="8"/>
    </row>
    <row r="312" spans="1:3" x14ac:dyDescent="0.2">
      <c r="A312" s="43"/>
      <c r="B312" s="44"/>
      <c r="C312" s="8"/>
    </row>
    <row r="313" spans="1:3" x14ac:dyDescent="0.2">
      <c r="A313" s="43"/>
      <c r="B313" s="44"/>
      <c r="C313" s="8"/>
    </row>
    <row r="314" spans="1:3" x14ac:dyDescent="0.2">
      <c r="A314" s="43"/>
      <c r="B314" s="44"/>
      <c r="C314" s="8"/>
    </row>
    <row r="315" spans="1:3" x14ac:dyDescent="0.2">
      <c r="A315" s="43"/>
      <c r="B315" s="44"/>
      <c r="C315" s="8"/>
    </row>
    <row r="316" spans="1:3" x14ac:dyDescent="0.2">
      <c r="A316" s="43"/>
      <c r="B316" s="44"/>
      <c r="C316" s="8"/>
    </row>
    <row r="317" spans="1:3" x14ac:dyDescent="0.2">
      <c r="A317" s="43"/>
      <c r="B317" s="44"/>
      <c r="C317" s="8"/>
    </row>
    <row r="318" spans="1:3" x14ac:dyDescent="0.2">
      <c r="A318" s="43"/>
      <c r="B318" s="44"/>
      <c r="C318" s="8"/>
    </row>
    <row r="319" spans="1:3" x14ac:dyDescent="0.2">
      <c r="A319" s="43"/>
      <c r="B319" s="44"/>
      <c r="C319" s="8"/>
    </row>
    <row r="320" spans="1:3" x14ac:dyDescent="0.2">
      <c r="A320" s="43"/>
      <c r="B320" s="44"/>
      <c r="C320" s="8"/>
    </row>
    <row r="321" spans="1:3" x14ac:dyDescent="0.2">
      <c r="A321" s="43"/>
      <c r="B321" s="44"/>
      <c r="C321" s="8"/>
    </row>
    <row r="322" spans="1:3" x14ac:dyDescent="0.2">
      <c r="A322" s="43"/>
      <c r="B322" s="44"/>
      <c r="C322" s="8"/>
    </row>
    <row r="323" spans="1:3" x14ac:dyDescent="0.2">
      <c r="A323" s="43"/>
      <c r="B323" s="44"/>
      <c r="C323" s="8"/>
    </row>
    <row r="324" spans="1:3" x14ac:dyDescent="0.2">
      <c r="A324" s="43"/>
      <c r="B324" s="44"/>
      <c r="C324" s="8"/>
    </row>
    <row r="325" spans="1:3" x14ac:dyDescent="0.2">
      <c r="A325" s="43"/>
      <c r="B325" s="44"/>
      <c r="C325" s="8"/>
    </row>
    <row r="326" spans="1:3" x14ac:dyDescent="0.2">
      <c r="A326" s="43"/>
      <c r="B326" s="44"/>
      <c r="C326" s="8"/>
    </row>
    <row r="327" spans="1:3" x14ac:dyDescent="0.2">
      <c r="A327" s="43"/>
      <c r="B327" s="44"/>
      <c r="C327" s="8"/>
    </row>
    <row r="328" spans="1:3" x14ac:dyDescent="0.2">
      <c r="A328" s="43"/>
      <c r="B328" s="44"/>
      <c r="C328" s="8"/>
    </row>
    <row r="329" spans="1:3" x14ac:dyDescent="0.2">
      <c r="A329" s="43"/>
      <c r="B329" s="44"/>
      <c r="C329" s="8"/>
    </row>
    <row r="330" spans="1:3" x14ac:dyDescent="0.2">
      <c r="A330" s="43"/>
      <c r="B330" s="44"/>
      <c r="C330" s="8"/>
    </row>
    <row r="331" spans="1:3" x14ac:dyDescent="0.2">
      <c r="A331" s="43"/>
      <c r="B331" s="44"/>
      <c r="C331" s="8"/>
    </row>
    <row r="332" spans="1:3" x14ac:dyDescent="0.2">
      <c r="A332" s="43"/>
      <c r="B332" s="44"/>
      <c r="C332" s="8"/>
    </row>
    <row r="333" spans="1:3" x14ac:dyDescent="0.2">
      <c r="A333" s="43"/>
      <c r="B333" s="44"/>
      <c r="C333" s="8"/>
    </row>
    <row r="334" spans="1:3" x14ac:dyDescent="0.2">
      <c r="A334" s="43"/>
      <c r="B334" s="44"/>
      <c r="C334" s="8"/>
    </row>
    <row r="335" spans="1:3" x14ac:dyDescent="0.2">
      <c r="A335" s="43"/>
      <c r="B335" s="44"/>
      <c r="C335" s="8"/>
    </row>
    <row r="336" spans="1:3" x14ac:dyDescent="0.2">
      <c r="A336" s="43"/>
      <c r="B336" s="44"/>
      <c r="C336" s="8"/>
    </row>
    <row r="337" spans="1:3" x14ac:dyDescent="0.2">
      <c r="A337" s="43"/>
      <c r="B337" s="44"/>
      <c r="C337" s="8"/>
    </row>
    <row r="338" spans="1:3" x14ac:dyDescent="0.2">
      <c r="A338" s="43"/>
      <c r="B338" s="44"/>
      <c r="C338" s="8"/>
    </row>
    <row r="339" spans="1:3" x14ac:dyDescent="0.2">
      <c r="A339" s="43"/>
      <c r="B339" s="44"/>
      <c r="C339" s="8"/>
    </row>
    <row r="340" spans="1:3" x14ac:dyDescent="0.2">
      <c r="A340" s="43"/>
      <c r="B340" s="44"/>
      <c r="C340" s="8"/>
    </row>
    <row r="341" spans="1:3" x14ac:dyDescent="0.2">
      <c r="A341" s="43"/>
      <c r="B341" s="44"/>
      <c r="C341" s="8"/>
    </row>
    <row r="342" spans="1:3" x14ac:dyDescent="0.2">
      <c r="A342" s="43"/>
      <c r="B342" s="44"/>
      <c r="C342" s="8"/>
    </row>
    <row r="343" spans="1:3" x14ac:dyDescent="0.2">
      <c r="A343" s="43"/>
      <c r="B343" s="44"/>
      <c r="C343" s="8"/>
    </row>
    <row r="344" spans="1:3" x14ac:dyDescent="0.2">
      <c r="A344" s="43"/>
      <c r="B344" s="44"/>
      <c r="C344" s="8"/>
    </row>
    <row r="345" spans="1:3" x14ac:dyDescent="0.2">
      <c r="A345" s="43"/>
      <c r="B345" s="44"/>
      <c r="C345" s="8"/>
    </row>
    <row r="346" spans="1:3" x14ac:dyDescent="0.2">
      <c r="A346" s="43"/>
      <c r="B346" s="44"/>
      <c r="C346" s="8"/>
    </row>
    <row r="347" spans="1:3" x14ac:dyDescent="0.2">
      <c r="A347" s="43"/>
      <c r="B347" s="44"/>
      <c r="C347" s="8"/>
    </row>
    <row r="348" spans="1:3" x14ac:dyDescent="0.2">
      <c r="A348" s="43"/>
      <c r="B348" s="44"/>
      <c r="C348" s="8"/>
    </row>
    <row r="349" spans="1:3" x14ac:dyDescent="0.2">
      <c r="A349" s="43"/>
      <c r="B349" s="44"/>
      <c r="C349" s="8"/>
    </row>
    <row r="350" spans="1:3" x14ac:dyDescent="0.2">
      <c r="A350" s="43"/>
      <c r="B350" s="44"/>
      <c r="C350" s="8"/>
    </row>
    <row r="351" spans="1:3" x14ac:dyDescent="0.2">
      <c r="A351" s="43"/>
      <c r="B351" s="44"/>
      <c r="C351" s="8"/>
    </row>
    <row r="352" spans="1:3" x14ac:dyDescent="0.2">
      <c r="A352" s="43"/>
      <c r="B352" s="44"/>
      <c r="C352" s="8"/>
    </row>
    <row r="353" spans="1:3" x14ac:dyDescent="0.2">
      <c r="A353" s="43"/>
      <c r="B353" s="44"/>
      <c r="C353" s="8"/>
    </row>
    <row r="354" spans="1:3" x14ac:dyDescent="0.2">
      <c r="A354" s="43"/>
      <c r="B354" s="44"/>
      <c r="C354" s="8"/>
    </row>
    <row r="355" spans="1:3" x14ac:dyDescent="0.2">
      <c r="A355" s="43"/>
      <c r="B355" s="44"/>
      <c r="C355" s="8"/>
    </row>
    <row r="356" spans="1:3" x14ac:dyDescent="0.2">
      <c r="A356" s="43"/>
      <c r="B356" s="44"/>
      <c r="C356" s="8"/>
    </row>
    <row r="357" spans="1:3" x14ac:dyDescent="0.2">
      <c r="A357" s="43"/>
      <c r="B357" s="44"/>
      <c r="C357" s="8"/>
    </row>
    <row r="358" spans="1:3" x14ac:dyDescent="0.2">
      <c r="A358" s="43"/>
      <c r="B358" s="44"/>
      <c r="C358" s="8"/>
    </row>
    <row r="359" spans="1:3" x14ac:dyDescent="0.2">
      <c r="A359" s="43"/>
      <c r="B359" s="44"/>
      <c r="C359" s="8"/>
    </row>
    <row r="360" spans="1:3" x14ac:dyDescent="0.2">
      <c r="A360" s="43"/>
      <c r="B360" s="44"/>
      <c r="C360" s="8"/>
    </row>
    <row r="361" spans="1:3" x14ac:dyDescent="0.2">
      <c r="A361" s="43"/>
      <c r="B361" s="44"/>
      <c r="C361" s="8"/>
    </row>
    <row r="362" spans="1:3" x14ac:dyDescent="0.2">
      <c r="A362" s="43"/>
      <c r="B362" s="44"/>
      <c r="C362" s="8"/>
    </row>
    <row r="363" spans="1:3" x14ac:dyDescent="0.2">
      <c r="A363" s="43"/>
      <c r="B363" s="44"/>
      <c r="C363" s="8"/>
    </row>
    <row r="364" spans="1:3" x14ac:dyDescent="0.2">
      <c r="A364" s="43"/>
      <c r="B364" s="44"/>
      <c r="C364" s="8"/>
    </row>
    <row r="365" spans="1:3" x14ac:dyDescent="0.2">
      <c r="A365" s="43"/>
      <c r="B365" s="44"/>
      <c r="C365" s="8"/>
    </row>
    <row r="366" spans="1:3" x14ac:dyDescent="0.2">
      <c r="A366" s="43"/>
      <c r="B366" s="44"/>
      <c r="C366" s="8"/>
    </row>
    <row r="367" spans="1:3" x14ac:dyDescent="0.2">
      <c r="A367" s="43"/>
      <c r="B367" s="44"/>
      <c r="C367" s="8"/>
    </row>
    <row r="368" spans="1:3" x14ac:dyDescent="0.2">
      <c r="A368" s="43"/>
      <c r="B368" s="44"/>
      <c r="C368" s="8"/>
    </row>
    <row r="369" spans="1:3" x14ac:dyDescent="0.2">
      <c r="A369" s="43"/>
      <c r="B369" s="44"/>
      <c r="C369" s="8"/>
    </row>
    <row r="370" spans="1:3" x14ac:dyDescent="0.2">
      <c r="A370" s="43"/>
      <c r="B370" s="44"/>
      <c r="C370" s="8"/>
    </row>
    <row r="371" spans="1:3" x14ac:dyDescent="0.2">
      <c r="A371" s="43"/>
      <c r="B371" s="44"/>
      <c r="C371" s="8"/>
    </row>
    <row r="372" spans="1:3" x14ac:dyDescent="0.2">
      <c r="A372" s="43"/>
      <c r="B372" s="44"/>
      <c r="C372" s="8"/>
    </row>
    <row r="373" spans="1:3" x14ac:dyDescent="0.2">
      <c r="A373" s="43"/>
      <c r="B373" s="44"/>
      <c r="C373" s="8"/>
    </row>
    <row r="374" spans="1:3" x14ac:dyDescent="0.2">
      <c r="A374" s="43"/>
      <c r="B374" s="44"/>
      <c r="C374" s="8"/>
    </row>
    <row r="375" spans="1:3" x14ac:dyDescent="0.2">
      <c r="A375" s="43"/>
      <c r="B375" s="44"/>
      <c r="C375" s="8"/>
    </row>
    <row r="376" spans="1:3" x14ac:dyDescent="0.2">
      <c r="A376" s="43"/>
      <c r="B376" s="44"/>
      <c r="C376" s="8"/>
    </row>
    <row r="377" spans="1:3" x14ac:dyDescent="0.2">
      <c r="A377" s="43"/>
      <c r="B377" s="44"/>
      <c r="C377" s="8"/>
    </row>
    <row r="378" spans="1:3" x14ac:dyDescent="0.2">
      <c r="A378" s="43"/>
      <c r="B378" s="44"/>
      <c r="C378" s="8"/>
    </row>
    <row r="379" spans="1:3" x14ac:dyDescent="0.2">
      <c r="A379" s="43"/>
      <c r="B379" s="44"/>
      <c r="C379" s="8"/>
    </row>
    <row r="380" spans="1:3" x14ac:dyDescent="0.2">
      <c r="A380" s="43"/>
      <c r="B380" s="44"/>
      <c r="C380" s="8"/>
    </row>
    <row r="381" spans="1:3" x14ac:dyDescent="0.2">
      <c r="A381" s="43"/>
      <c r="B381" s="44"/>
      <c r="C381" s="8"/>
    </row>
    <row r="382" spans="1:3" x14ac:dyDescent="0.2">
      <c r="A382" s="43"/>
      <c r="B382" s="44"/>
      <c r="C382" s="8"/>
    </row>
    <row r="383" spans="1:3" x14ac:dyDescent="0.2">
      <c r="A383" s="43"/>
      <c r="B383" s="44"/>
      <c r="C383" s="8"/>
    </row>
    <row r="384" spans="1:3" x14ac:dyDescent="0.2">
      <c r="A384" s="43"/>
      <c r="B384" s="44"/>
      <c r="C384" s="8"/>
    </row>
    <row r="385" spans="1:3" x14ac:dyDescent="0.2">
      <c r="A385" s="43"/>
      <c r="B385" s="44"/>
      <c r="C385" s="8"/>
    </row>
    <row r="386" spans="1:3" x14ac:dyDescent="0.2">
      <c r="A386" s="43"/>
      <c r="B386" s="44"/>
      <c r="C386" s="8"/>
    </row>
    <row r="387" spans="1:3" x14ac:dyDescent="0.2">
      <c r="A387" s="43"/>
      <c r="B387" s="44"/>
      <c r="C387" s="8"/>
    </row>
    <row r="388" spans="1:3" x14ac:dyDescent="0.2">
      <c r="A388" s="43"/>
      <c r="B388" s="44"/>
      <c r="C388" s="8"/>
    </row>
    <row r="389" spans="1:3" x14ac:dyDescent="0.2">
      <c r="A389" s="43"/>
      <c r="B389" s="44"/>
      <c r="C389" s="8"/>
    </row>
    <row r="390" spans="1:3" x14ac:dyDescent="0.2">
      <c r="A390" s="43"/>
      <c r="B390" s="44"/>
      <c r="C390" s="8"/>
    </row>
    <row r="391" spans="1:3" x14ac:dyDescent="0.2">
      <c r="A391" s="43"/>
      <c r="B391" s="44"/>
      <c r="C391" s="8"/>
    </row>
    <row r="392" spans="1:3" x14ac:dyDescent="0.2">
      <c r="A392" s="43"/>
      <c r="B392" s="44"/>
      <c r="C392" s="8"/>
    </row>
    <row r="393" spans="1:3" x14ac:dyDescent="0.2">
      <c r="A393" s="43"/>
      <c r="B393" s="44"/>
      <c r="C393" s="8"/>
    </row>
    <row r="394" spans="1:3" x14ac:dyDescent="0.2">
      <c r="A394" s="43"/>
      <c r="B394" s="44"/>
      <c r="C394" s="8"/>
    </row>
    <row r="395" spans="1:3" x14ac:dyDescent="0.2">
      <c r="A395" s="43"/>
      <c r="B395" s="44"/>
      <c r="C395" s="8"/>
    </row>
    <row r="396" spans="1:3" x14ac:dyDescent="0.2">
      <c r="A396" s="43"/>
      <c r="B396" s="44"/>
      <c r="C396" s="8"/>
    </row>
    <row r="397" spans="1:3" x14ac:dyDescent="0.2">
      <c r="A397" s="43"/>
      <c r="B397" s="44"/>
      <c r="C397" s="8"/>
    </row>
    <row r="398" spans="1:3" x14ac:dyDescent="0.2">
      <c r="A398" s="43"/>
      <c r="B398" s="44"/>
      <c r="C398" s="8"/>
    </row>
    <row r="399" spans="1:3" x14ac:dyDescent="0.2">
      <c r="A399" s="43"/>
      <c r="B399" s="44"/>
      <c r="C399" s="8"/>
    </row>
    <row r="400" spans="1:3" x14ac:dyDescent="0.2">
      <c r="A400" s="43"/>
      <c r="B400" s="44"/>
      <c r="C400" s="8"/>
    </row>
    <row r="401" spans="1:3" x14ac:dyDescent="0.2">
      <c r="A401" s="43"/>
      <c r="B401" s="44"/>
      <c r="C401" s="8"/>
    </row>
    <row r="402" spans="1:3" x14ac:dyDescent="0.2">
      <c r="A402" s="43"/>
      <c r="B402" s="44"/>
      <c r="C402" s="8"/>
    </row>
    <row r="403" spans="1:3" x14ac:dyDescent="0.2">
      <c r="A403" s="43"/>
      <c r="B403" s="44"/>
      <c r="C403" s="8"/>
    </row>
    <row r="404" spans="1:3" x14ac:dyDescent="0.2">
      <c r="A404" s="43"/>
      <c r="B404" s="44"/>
      <c r="C404" s="8"/>
    </row>
    <row r="405" spans="1:3" x14ac:dyDescent="0.2">
      <c r="A405" s="43"/>
      <c r="B405" s="44"/>
      <c r="C405" s="8"/>
    </row>
    <row r="406" spans="1:3" x14ac:dyDescent="0.2">
      <c r="A406" s="43"/>
      <c r="B406" s="44"/>
      <c r="C406" s="8"/>
    </row>
    <row r="407" spans="1:3" x14ac:dyDescent="0.2">
      <c r="A407" s="43"/>
      <c r="B407" s="44"/>
      <c r="C407" s="8"/>
    </row>
    <row r="408" spans="1:3" x14ac:dyDescent="0.2">
      <c r="A408" s="43"/>
      <c r="B408" s="44"/>
      <c r="C408" s="8"/>
    </row>
    <row r="409" spans="1:3" x14ac:dyDescent="0.2">
      <c r="A409" s="43"/>
      <c r="B409" s="44"/>
      <c r="C409" s="8"/>
    </row>
    <row r="410" spans="1:3" x14ac:dyDescent="0.2">
      <c r="A410" s="43"/>
      <c r="B410" s="44"/>
      <c r="C410" s="8"/>
    </row>
    <row r="411" spans="1:3" x14ac:dyDescent="0.2">
      <c r="A411" s="43"/>
      <c r="B411" s="44"/>
      <c r="C411" s="8"/>
    </row>
    <row r="412" spans="1:3" x14ac:dyDescent="0.2">
      <c r="A412" s="43"/>
      <c r="B412" s="44"/>
      <c r="C412" s="8"/>
    </row>
    <row r="413" spans="1:3" x14ac:dyDescent="0.2">
      <c r="A413" s="43"/>
      <c r="B413" s="44"/>
      <c r="C413" s="8"/>
    </row>
    <row r="414" spans="1:3" x14ac:dyDescent="0.2">
      <c r="A414" s="43"/>
      <c r="B414" s="44"/>
      <c r="C414" s="8"/>
    </row>
    <row r="415" spans="1:3" x14ac:dyDescent="0.2">
      <c r="A415" s="43"/>
      <c r="B415" s="44"/>
      <c r="C415" s="8"/>
    </row>
    <row r="416" spans="1:3" x14ac:dyDescent="0.2">
      <c r="A416" s="44"/>
      <c r="B416" s="44"/>
      <c r="C416" s="8"/>
    </row>
    <row r="417" spans="1:3" x14ac:dyDescent="0.2">
      <c r="A417" s="44"/>
      <c r="B417" s="44"/>
      <c r="C417" s="8"/>
    </row>
    <row r="418" spans="1:3" x14ac:dyDescent="0.2">
      <c r="A418" s="44"/>
      <c r="B418" s="44"/>
      <c r="C418" s="8"/>
    </row>
    <row r="419" spans="1:3" x14ac:dyDescent="0.2">
      <c r="A419" s="44"/>
      <c r="B419" s="44"/>
      <c r="C419" s="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5C4B875-BC42-4FF2-BB35-4D2C04C81A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877016D-B4B7-405E-826B-3A728F27D08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DB6371B-C53A-4BF9-95B0-812524E42DEB}">
  <ds:schemaRefs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UNDISTURBED</vt:lpstr>
      <vt:lpstr>REMOULDED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Romieu, Alix</cp:lastModifiedBy>
  <dcterms:created xsi:type="dcterms:W3CDTF">2020-03-03T09:23:03Z</dcterms:created>
  <dcterms:modified xsi:type="dcterms:W3CDTF">2021-01-20T15:37:33Z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