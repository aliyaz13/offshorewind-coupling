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F7C06A25-2437-455D-86D3-F8E97017E283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C13" i="1" l="1"/>
  <c r="C12" i="1"/>
  <c r="C11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<sst xmlns="http://schemas.openxmlformats.org/spreadsheetml/2006/main" count="46" uniqueCount="32">
  <si>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</si>
  <si>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</si>
  <si>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</si>
  <si>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</si>
  <si>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</si>
  <si>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</si>
  <si>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</si>
  <si>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</si>
  <si>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</si>
  <si>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</si>
  <si>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</si>
  <si>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</si>
  <si>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</si>
  <si>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</si>
  <si>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</si>
  <si>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</si>
  <si>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</si>
  <si>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</si>
  <si>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</si>
  <si>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</si>
  <si>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</si>
  <si>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</si>
  <si>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</si>
  <si>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</si>
  <si>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</si>
  <si>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</si>
  <si>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</si>
  <si>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</si>
  <si>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</si>
  <si>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</si>
  <si>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TNW015-BH</t>
  </si>
  <si>
    <t>33UU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</si>
</sst>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9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/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10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8" customWidth="1"/>
    <col min="2" max="2" width="18.7109375" style="17" customWidth="1"/>
    <col min="3" max="3" width="18.5703125" style="17" customWidth="1"/>
    <col min="4" max="4" width="9.140625" style="18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8"/>
      <c r="H1" s="48"/>
      <c r="I1" s="48"/>
      <c r="J1" s="48"/>
      <c r="K1" s="11"/>
      <c r="L1" s="11"/>
    </row>
    <row r="2" spans="1:12" s="3" customFormat="1" x14ac:dyDescent="0.25">
      <c r="A2" s="19" t="s">
        <v>3</v>
      </c>
      <c r="B2" s="20" t="s">
        <v>30</v>
      </c>
      <c r="C2" s="20"/>
      <c r="D2" s="21"/>
    </row>
    <row r="3" spans="1:12" x14ac:dyDescent="0.25">
      <c r="A3" s="19" t="s">
        <v>4</v>
      </c>
      <c r="B3" s="20" t="s">
        <v>31</v>
      </c>
      <c r="C3" s="20"/>
      <c r="G3" s="12"/>
      <c r="H3" s="12"/>
      <c r="I3" s="12"/>
      <c r="J3" s="12"/>
      <c r="K3" s="1"/>
      <c r="L3" s="4"/>
    </row>
    <row r="4" spans="1:12" x14ac:dyDescent="0.25">
      <c r="A4" s="19" t="s">
        <v>5</v>
      </c>
      <c r="B4" s="20">
        <v>31.65</v>
      </c>
      <c r="C4" s="20"/>
      <c r="D4" s="22" t="s">
        <v>1</v>
      </c>
      <c r="K4"/>
    </row>
    <row r="5" spans="1:12" x14ac:dyDescent="0.25">
      <c r="A5" s="19"/>
      <c r="K5"/>
    </row>
    <row r="6" spans="1:12" x14ac:dyDescent="0.25">
      <c r="A6" s="23" t="s">
        <v>25</v>
      </c>
      <c r="E6" s="7"/>
      <c r="K6"/>
    </row>
    <row r="7" spans="1:12" x14ac:dyDescent="0.25">
      <c r="K7"/>
    </row>
    <row r="8" spans="1:12" x14ac:dyDescent="0.25">
      <c r="B8" s="24"/>
      <c r="C8" s="24"/>
      <c r="K8"/>
    </row>
    <row r="9" spans="1:12" x14ac:dyDescent="0.25">
      <c r="A9" s="16" t="s">
        <v>6</v>
      </c>
      <c r="B9" s="25" t="s">
        <v>28</v>
      </c>
      <c r="C9" s="25" t="s">
        <v>29</v>
      </c>
      <c r="D9" s="26"/>
      <c r="K9"/>
    </row>
    <row r="10" spans="1:12" x14ac:dyDescent="0.25">
      <c r="A10" s="27" t="s">
        <v>7</v>
      </c>
      <c r="B10" s="32">
        <v>140.5</v>
      </c>
      <c r="C10" s="28">
        <f>Height</f>
        <v>100</v>
      </c>
      <c r="D10" s="29" t="s">
        <v>2</v>
      </c>
      <c r="K10"/>
    </row>
    <row r="11" spans="1:12" x14ac:dyDescent="0.25">
      <c r="A11" s="27" t="s">
        <v>8</v>
      </c>
      <c r="B11" s="32">
        <v>72</v>
      </c>
      <c r="C11" s="28">
        <f>Diameter</f>
        <v>50</v>
      </c>
      <c r="D11" s="29" t="s">
        <v>2</v>
      </c>
      <c r="K11"/>
    </row>
    <row r="12" spans="1:12" x14ac:dyDescent="0.25">
      <c r="A12" s="27" t="s">
        <v>9</v>
      </c>
      <c r="B12" s="17">
        <v>0.35</v>
      </c>
      <c r="C12" s="30">
        <f>Membrane.Thickness</f>
        <v>0.35</v>
      </c>
      <c r="D12" s="29" t="s">
        <v>2</v>
      </c>
      <c r="E12" s="5"/>
      <c r="K12"/>
    </row>
    <row r="13" spans="1:12" x14ac:dyDescent="0.25">
      <c r="A13" s="27" t="s">
        <v>10</v>
      </c>
      <c r="B13" s="32">
        <v>1</v>
      </c>
      <c r="C13" s="28">
        <f>ROUND(Rate.Of.Strain, 2 - (1+INT(LOG10(ABS(Rate.Of.Strain)))))</f>
        <v>1</v>
      </c>
      <c r="D13" s="29" t="s">
        <v>20</v>
      </c>
      <c r="E13" s="5"/>
      <c r="K13"/>
    </row>
    <row r="14" spans="1:12" x14ac:dyDescent="0.25">
      <c r="A14" s="27" t="s">
        <v>11</v>
      </c>
      <c r="B14" s="17">
        <v>1.54</v>
      </c>
      <c r="C14" s="31">
        <v>1.49</v>
      </c>
      <c r="D14" s="29" t="s">
        <v>21</v>
      </c>
      <c r="E14" s="5"/>
      <c r="K14"/>
    </row>
    <row r="15" spans="1:12" x14ac:dyDescent="0.25">
      <c r="A15" s="27" t="s">
        <v>12</v>
      </c>
      <c r="B15" s="17">
        <v>0.83</v>
      </c>
      <c r="D15" s="29" t="s">
        <v>21</v>
      </c>
      <c r="E15" s="5"/>
      <c r="K15"/>
    </row>
    <row r="16" spans="1:12" x14ac:dyDescent="0.25">
      <c r="A16" s="27" t="s">
        <v>13</v>
      </c>
      <c r="B16" s="32">
        <v>85.3</v>
      </c>
      <c r="C16" s="32"/>
      <c r="D16" s="29" t="s">
        <v>22</v>
      </c>
      <c r="E16" s="5"/>
      <c r="K16"/>
    </row>
    <row r="17" spans="1:11" x14ac:dyDescent="0.25">
      <c r="A17" s="27"/>
      <c r="B17" s="33"/>
      <c r="C17" s="34"/>
      <c r="D17" s="29"/>
      <c r="E17" s="5"/>
      <c r="K17"/>
    </row>
    <row r="18" spans="1:11" x14ac:dyDescent="0.25">
      <c r="A18" s="35" t="s">
        <v>14</v>
      </c>
      <c r="B18" s="33"/>
      <c r="C18" s="36"/>
      <c r="D18" s="37"/>
      <c r="E18" s="13"/>
      <c r="K18"/>
    </row>
    <row r="19" spans="1:11" x14ac:dyDescent="0.25">
      <c r="A19" s="27" t="s">
        <v>15</v>
      </c>
      <c r="B19" s="38">
        <v>1000</v>
      </c>
      <c r="C19" s="38">
        <v>1000</v>
      </c>
      <c r="D19" s="29" t="s">
        <v>23</v>
      </c>
      <c r="E19" s="6"/>
      <c r="K19"/>
    </row>
    <row r="20" spans="1:11" x14ac:dyDescent="0.25">
      <c r="A20" s="27" t="s">
        <v>16</v>
      </c>
      <c r="B20" s="38">
        <v>0</v>
      </c>
      <c r="C20" s="38">
        <v>2</v>
      </c>
      <c r="D20" s="29" t="s">
        <v>22</v>
      </c>
      <c r="E20" s="9"/>
      <c r="K20"/>
    </row>
    <row r="21" spans="1:11" x14ac:dyDescent="0.25">
      <c r="A21" s="27" t="s">
        <v>17</v>
      </c>
      <c r="B21" s="32">
        <v>537</v>
      </c>
      <c r="C21" s="32">
        <v>210</v>
      </c>
      <c r="D21" s="29" t="s">
        <v>23</v>
      </c>
      <c r="E21" s="6"/>
      <c r="K21"/>
    </row>
    <row r="22" spans="1:11" x14ac:dyDescent="0.25">
      <c r="A22" s="27" t="s">
        <v>18</v>
      </c>
      <c r="B22" s="32">
        <v>3.3</v>
      </c>
      <c r="C22" s="32">
        <v>14.5</v>
      </c>
      <c r="D22" s="29" t="s">
        <v>22</v>
      </c>
      <c r="E22" s="10"/>
      <c r="K22"/>
    </row>
    <row r="23" spans="1:11" x14ac:dyDescent="0.25">
      <c r="A23" s="27" t="s">
        <v>19</v>
      </c>
      <c r="B23" s="32">
        <v>268.5</v>
      </c>
      <c r="C23" s="32">
        <v>105</v>
      </c>
      <c r="D23" s="29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3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3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44">
        <v>0</v>
      </c>
      <c r="B5" s="44">
        <v>0</v>
      </c>
    </row>
    <row r="6" spans="1:2" s="14" customFormat="1" x14ac:dyDescent="0.25">
      <c r="A6" s="44">
        <v>9.964412811387903E-2</v>
      </c>
      <c r="B6" s="44">
        <v>32.620320418283114</v>
      </c>
    </row>
    <row r="7" spans="1:2" s="14" customFormat="1" x14ac:dyDescent="0.25">
      <c r="A7" s="44">
        <v>0.199288256227758</v>
      </c>
      <c r="B7" s="44">
        <v>46.423901774623587</v>
      </c>
    </row>
    <row r="8" spans="1:2" s="14" customFormat="1" x14ac:dyDescent="0.25">
      <c r="A8" s="44">
        <v>0.29893238434163705</v>
      </c>
      <c r="B8" s="44">
        <v>56.502252660690758</v>
      </c>
    </row>
    <row r="9" spans="1:2" x14ac:dyDescent="0.25">
      <c r="A9" s="44">
        <v>0.39857651245551601</v>
      </c>
      <c r="B9" s="44">
        <v>65.655247728770092</v>
      </c>
    </row>
    <row r="10" spans="1:2" x14ac:dyDescent="0.25">
      <c r="A10" s="44">
        <v>0.49822064056939502</v>
      </c>
      <c r="B10" s="44">
        <v>74.692076691830934</v>
      </c>
    </row>
    <row r="11" spans="1:2" x14ac:dyDescent="0.25">
      <c r="A11" s="44">
        <v>0.60498220640569389</v>
      </c>
      <c r="B11" s="44">
        <v>85.412629380448877</v>
      </c>
    </row>
    <row r="12" spans="1:2" x14ac:dyDescent="0.25">
      <c r="A12" s="44">
        <v>0.70462633451957279</v>
      </c>
      <c r="B12" s="44">
        <v>103.84877564093318</v>
      </c>
    </row>
    <row r="13" spans="1:2" x14ac:dyDescent="0.25">
      <c r="A13" s="44">
        <v>0.80427046263345181</v>
      </c>
      <c r="B13" s="44">
        <v>128.72843085841149</v>
      </c>
    </row>
    <row r="14" spans="1:2" x14ac:dyDescent="0.25">
      <c r="A14" s="44">
        <v>0.90391459074733105</v>
      </c>
      <c r="B14" s="44">
        <v>153.82563595205829</v>
      </c>
    </row>
    <row r="15" spans="1:2" x14ac:dyDescent="0.25">
      <c r="A15" s="44">
        <v>1.0035587188612101</v>
      </c>
      <c r="B15" s="44">
        <v>177.486199710818</v>
      </c>
    </row>
    <row r="16" spans="1:2" x14ac:dyDescent="0.25">
      <c r="A16" s="44">
        <v>1.1032028469750887</v>
      </c>
      <c r="B16" s="44">
        <v>200.24868691092547</v>
      </c>
    </row>
    <row r="17" spans="1:2" x14ac:dyDescent="0.25">
      <c r="A17" s="44">
        <v>1.2028469750889679</v>
      </c>
      <c r="B17" s="44">
        <v>222.72230520903909</v>
      </c>
    </row>
    <row r="18" spans="1:2" x14ac:dyDescent="0.25">
      <c r="A18" s="44">
        <v>1.2953736654804269</v>
      </c>
      <c r="B18" s="44">
        <v>245.16879536110224</v>
      </c>
    </row>
    <row r="19" spans="1:2" x14ac:dyDescent="0.25">
      <c r="A19" s="44">
        <v>1.395017793594306</v>
      </c>
      <c r="B19" s="44">
        <v>267.18932190384891</v>
      </c>
    </row>
    <row r="20" spans="1:2" x14ac:dyDescent="0.25">
      <c r="A20" s="44">
        <v>1.4946619217081851</v>
      </c>
      <c r="B20" s="44">
        <v>289.40679684431029</v>
      </c>
    </row>
    <row r="21" spans="1:2" x14ac:dyDescent="0.25">
      <c r="A21" s="44">
        <v>1.6014234875444839</v>
      </c>
      <c r="B21" s="44">
        <v>311.55534524839339</v>
      </c>
    </row>
    <row r="22" spans="1:2" x14ac:dyDescent="0.25">
      <c r="A22" s="44">
        <v>1.7010676156583626</v>
      </c>
      <c r="B22" s="44">
        <v>333.19737535685869</v>
      </c>
    </row>
    <row r="23" spans="1:2" x14ac:dyDescent="0.25">
      <c r="A23" s="44">
        <v>1.8007117437722417</v>
      </c>
      <c r="B23" s="44">
        <v>354.55371812385522</v>
      </c>
    </row>
    <row r="24" spans="1:2" x14ac:dyDescent="0.25">
      <c r="A24" s="44">
        <v>1.9003558718861211</v>
      </c>
      <c r="B24" s="44">
        <v>375.38416572975427</v>
      </c>
    </row>
    <row r="25" spans="1:2" x14ac:dyDescent="0.25">
      <c r="A25" s="44">
        <v>2</v>
      </c>
      <c r="B25" s="44">
        <v>395.44948929662723</v>
      </c>
    </row>
    <row r="26" spans="1:2" x14ac:dyDescent="0.25">
      <c r="A26" s="44">
        <v>2.1067615658362993</v>
      </c>
      <c r="B26" s="44">
        <v>414.96127269117011</v>
      </c>
    </row>
    <row r="27" spans="1:2" x14ac:dyDescent="0.25">
      <c r="A27" s="44">
        <v>2.1992882562277583</v>
      </c>
      <c r="B27" s="44">
        <v>433.29357478859492</v>
      </c>
    </row>
    <row r="28" spans="1:2" x14ac:dyDescent="0.25">
      <c r="A28" s="44">
        <v>2.2989323843416369</v>
      </c>
      <c r="B28" s="44">
        <v>448.91707419350803</v>
      </c>
    </row>
    <row r="29" spans="1:2" x14ac:dyDescent="0.25">
      <c r="A29" s="44">
        <v>2.4056939501779357</v>
      </c>
      <c r="B29" s="44">
        <v>464.712752728569</v>
      </c>
    </row>
    <row r="30" spans="1:2" x14ac:dyDescent="0.25">
      <c r="A30" s="44">
        <v>2.4982206405693947</v>
      </c>
      <c r="B30" s="44">
        <v>479.58686593740418</v>
      </c>
    </row>
    <row r="31" spans="1:2" x14ac:dyDescent="0.25">
      <c r="A31" s="44">
        <v>2.5978647686832739</v>
      </c>
      <c r="B31" s="44">
        <v>491.52416180501638</v>
      </c>
    </row>
    <row r="32" spans="1:2" x14ac:dyDescent="0.25">
      <c r="A32" s="44">
        <v>2.7046263345195727</v>
      </c>
      <c r="B32" s="44">
        <v>502.92039921181748</v>
      </c>
    </row>
    <row r="33" spans="1:2" x14ac:dyDescent="0.25">
      <c r="A33" s="44">
        <v>2.7971530249110321</v>
      </c>
      <c r="B33" s="44">
        <v>512.93512581848154</v>
      </c>
    </row>
    <row r="34" spans="1:2" x14ac:dyDescent="0.25">
      <c r="A34" s="44">
        <v>2.9039145907473309</v>
      </c>
      <c r="B34" s="44">
        <v>520.94364909127262</v>
      </c>
    </row>
    <row r="35" spans="1:2" x14ac:dyDescent="0.25">
      <c r="A35" s="44">
        <v>3.0035587188612105</v>
      </c>
      <c r="B35" s="44">
        <v>528.02010803979908</v>
      </c>
    </row>
    <row r="36" spans="1:2" x14ac:dyDescent="0.25">
      <c r="A36" s="44">
        <v>3.1032028469750892</v>
      </c>
      <c r="B36" s="44">
        <v>532.70106799131588</v>
      </c>
    </row>
    <row r="37" spans="1:2" x14ac:dyDescent="0.25">
      <c r="A37" s="44">
        <v>3.2028469750889679</v>
      </c>
      <c r="B37" s="44">
        <v>535.46935697712638</v>
      </c>
    </row>
    <row r="38" spans="1:2" x14ac:dyDescent="0.25">
      <c r="A38" s="44">
        <v>3.3024911032028474</v>
      </c>
      <c r="B38" s="44">
        <v>537.04334339398599</v>
      </c>
    </row>
    <row r="39" spans="1:2" x14ac:dyDescent="0.25">
      <c r="A39" s="44">
        <v>3.3950177935943064</v>
      </c>
      <c r="B39" s="44">
        <v>536.75535807227982</v>
      </c>
    </row>
    <row r="40" spans="1:2" x14ac:dyDescent="0.25">
      <c r="A40" s="44">
        <v>3.5017793594306048</v>
      </c>
      <c r="B40" s="44">
        <v>534.49001364433514</v>
      </c>
    </row>
    <row r="41" spans="1:2" x14ac:dyDescent="0.25">
      <c r="A41" s="44">
        <v>3.5943060498220643</v>
      </c>
      <c r="B41" s="44">
        <v>529.94091159060315</v>
      </c>
    </row>
    <row r="42" spans="1:2" x14ac:dyDescent="0.25">
      <c r="A42" s="44">
        <v>3.7010676156583635</v>
      </c>
      <c r="B42" s="44">
        <v>524.8471433991599</v>
      </c>
    </row>
    <row r="43" spans="1:2" x14ac:dyDescent="0.25">
      <c r="A43" s="44">
        <v>3.8007117437722426</v>
      </c>
      <c r="B43" s="44">
        <v>519.33016217515285</v>
      </c>
    </row>
    <row r="44" spans="1:2" x14ac:dyDescent="0.25">
      <c r="A44" s="44">
        <v>3.9003558718861213</v>
      </c>
      <c r="B44" s="44">
        <v>515.7117397966183</v>
      </c>
    </row>
    <row r="45" spans="1:2" x14ac:dyDescent="0.25">
      <c r="A45" s="44">
        <v>4</v>
      </c>
      <c r="B45" s="44">
        <v>514.2217877142333</v>
      </c>
    </row>
    <row r="46" spans="1:2" x14ac:dyDescent="0.25">
      <c r="A46" s="44">
        <v>4.0996441281138791</v>
      </c>
      <c r="B46" s="44">
        <v>512.02721368610059</v>
      </c>
    </row>
    <row r="47" spans="1:2" x14ac:dyDescent="0.25">
      <c r="A47" s="44">
        <v>4.1992882562277583</v>
      </c>
      <c r="B47" s="44">
        <v>510.54199411120624</v>
      </c>
    </row>
    <row r="48" spans="1:2" x14ac:dyDescent="0.25">
      <c r="A48" s="44">
        <v>4.3060498220640575</v>
      </c>
      <c r="B48" s="44">
        <v>509.02005827286632</v>
      </c>
    </row>
    <row r="49" spans="1:2" x14ac:dyDescent="0.25">
      <c r="A49" s="44">
        <v>4.3985765124555165</v>
      </c>
      <c r="B49" s="44">
        <v>507.34274625406397</v>
      </c>
    </row>
    <row r="50" spans="1:2" x14ac:dyDescent="0.25">
      <c r="A50" s="44">
        <v>4.4982206405693956</v>
      </c>
      <c r="B50" s="44">
        <v>504.69096174765832</v>
      </c>
    </row>
    <row r="51" spans="1:2" x14ac:dyDescent="0.25">
      <c r="A51" s="44">
        <v>4.604982206405694</v>
      </c>
      <c r="B51" s="44">
        <v>500.5995239970203</v>
      </c>
    </row>
    <row r="52" spans="1:2" x14ac:dyDescent="0.25">
      <c r="A52" s="44">
        <v>4.697508896797153</v>
      </c>
      <c r="B52" s="44">
        <v>496.59186881459675</v>
      </c>
    </row>
    <row r="53" spans="1:2" x14ac:dyDescent="0.25">
      <c r="A53" s="44">
        <v>4.8042704626334514</v>
      </c>
      <c r="B53" s="44">
        <v>492.2819183158677</v>
      </c>
    </row>
    <row r="54" spans="1:2" x14ac:dyDescent="0.25">
      <c r="A54" s="44">
        <v>4.8967971530249104</v>
      </c>
      <c r="B54" s="44">
        <v>487.82156175520964</v>
      </c>
    </row>
    <row r="55" spans="1:2" x14ac:dyDescent="0.25">
      <c r="A55" s="44">
        <v>5.0035587188612105</v>
      </c>
      <c r="B55" s="44">
        <v>484.22814516177073</v>
      </c>
    </row>
    <row r="56" spans="1:2" x14ac:dyDescent="0.25">
      <c r="A56" s="44">
        <v>5.0960854092526695</v>
      </c>
      <c r="B56" s="44">
        <v>480.71537591916666</v>
      </c>
    </row>
    <row r="57" spans="1:2" x14ac:dyDescent="0.25">
      <c r="A57" s="44">
        <v>5.2028469750889688</v>
      </c>
      <c r="B57" s="44">
        <v>477.83372089023032</v>
      </c>
    </row>
    <row r="58" spans="1:2" x14ac:dyDescent="0.25">
      <c r="A58" s="44">
        <v>5.2953736654804278</v>
      </c>
      <c r="B58" s="44">
        <v>475.49563595897018</v>
      </c>
    </row>
    <row r="59" spans="1:2" x14ac:dyDescent="0.25">
      <c r="A59" s="44">
        <v>5.4021352313167261</v>
      </c>
      <c r="B59" s="44">
        <v>473.32070793722244</v>
      </c>
    </row>
    <row r="60" spans="1:2" x14ac:dyDescent="0.25">
      <c r="A60" s="44">
        <v>5.5017793594306053</v>
      </c>
      <c r="B60" s="44">
        <v>471.18581820279269</v>
      </c>
    </row>
    <row r="61" spans="1:2" x14ac:dyDescent="0.25">
      <c r="A61" s="44">
        <v>5.6014234875444835</v>
      </c>
      <c r="B61" s="44">
        <v>469.51809973747112</v>
      </c>
    </row>
    <row r="62" spans="1:2" x14ac:dyDescent="0.25">
      <c r="A62" s="44">
        <v>5.7010676156583635</v>
      </c>
      <c r="B62" s="44">
        <v>466.92644142340652</v>
      </c>
    </row>
    <row r="63" spans="1:2" x14ac:dyDescent="0.25">
      <c r="A63" s="44">
        <v>5.8007117437722409</v>
      </c>
      <c r="B63" s="44">
        <v>464.33922961419944</v>
      </c>
    </row>
    <row r="64" spans="1:2" x14ac:dyDescent="0.25">
      <c r="A64" s="44">
        <v>5.9074733096085401</v>
      </c>
      <c r="B64" s="44">
        <v>461.72071561286509</v>
      </c>
    </row>
    <row r="65" spans="1:2" x14ac:dyDescent="0.25">
      <c r="A65" s="44">
        <v>6</v>
      </c>
      <c r="B65" s="44">
        <v>458.94727259908296</v>
      </c>
    </row>
    <row r="66" spans="1:2" x14ac:dyDescent="0.25">
      <c r="A66" s="44">
        <v>6.0996441281138791</v>
      </c>
      <c r="B66" s="44">
        <v>455.91238868817351</v>
      </c>
    </row>
    <row r="67" spans="1:2" x14ac:dyDescent="0.25">
      <c r="A67" s="44">
        <v>6.2064056939501775</v>
      </c>
      <c r="B67" s="44">
        <v>452.84774976506685</v>
      </c>
    </row>
    <row r="68" spans="1:2" x14ac:dyDescent="0.25">
      <c r="A68" s="44">
        <v>6.2989323843416365</v>
      </c>
      <c r="B68" s="44">
        <v>450.08903591102768</v>
      </c>
    </row>
    <row r="69" spans="1:2" x14ac:dyDescent="0.25">
      <c r="A69" s="44">
        <v>6.3985765124555156</v>
      </c>
      <c r="B69" s="44">
        <v>447.98975948266747</v>
      </c>
    </row>
    <row r="70" spans="1:2" x14ac:dyDescent="0.25">
      <c r="A70" s="44">
        <v>6.4982206405693939</v>
      </c>
      <c r="B70" s="44">
        <v>445.89395061746478</v>
      </c>
    </row>
    <row r="71" spans="1:2" x14ac:dyDescent="0.25">
      <c r="A71" s="44">
        <v>6.6049822064056931</v>
      </c>
      <c r="B71" s="44">
        <v>443.53759554382782</v>
      </c>
    </row>
    <row r="72" spans="1:2" x14ac:dyDescent="0.25">
      <c r="A72" s="44">
        <v>6.7046263345195731</v>
      </c>
      <c r="B72" s="44">
        <v>442.13651870233167</v>
      </c>
    </row>
    <row r="73" spans="1:2" x14ac:dyDescent="0.25">
      <c r="A73" s="44">
        <v>6.8042704626334505</v>
      </c>
      <c r="B73" s="44">
        <v>441.19523610499027</v>
      </c>
    </row>
    <row r="74" spans="1:2" x14ac:dyDescent="0.25">
      <c r="A74" s="44">
        <v>6.8967971530249113</v>
      </c>
      <c r="B74" s="44">
        <v>440.06076400518583</v>
      </c>
    </row>
    <row r="75" spans="1:2" x14ac:dyDescent="0.25">
      <c r="A75" s="44">
        <v>7.0035587188612096</v>
      </c>
      <c r="B75" s="44">
        <v>439.08732346110759</v>
      </c>
    </row>
    <row r="76" spans="1:2" x14ac:dyDescent="0.25">
      <c r="A76" s="44">
        <v>7.0889679715302485</v>
      </c>
      <c r="B76" s="44">
        <v>437.76168439156748</v>
      </c>
    </row>
    <row r="77" spans="1:2" x14ac:dyDescent="0.25">
      <c r="A77" s="44">
        <v>7.1601423487544471</v>
      </c>
      <c r="B77" s="44">
        <v>436.73429810514415</v>
      </c>
    </row>
    <row r="78" spans="1:2" x14ac:dyDescent="0.25">
      <c r="A78" s="44">
        <v>7.2313167259786484</v>
      </c>
      <c r="B78" s="44">
        <v>435.02443569752626</v>
      </c>
    </row>
    <row r="79" spans="1:2" x14ac:dyDescent="0.25">
      <c r="A79" s="44">
        <v>7.3736654804270456</v>
      </c>
      <c r="B79" s="44">
        <v>432.29356441891929</v>
      </c>
    </row>
    <row r="80" spans="1:2" x14ac:dyDescent="0.25">
      <c r="A80" s="44">
        <v>7.4448398576512451</v>
      </c>
      <c r="B80" s="44">
        <v>428.77093995808087</v>
      </c>
    </row>
    <row r="81" spans="1:2" x14ac:dyDescent="0.25">
      <c r="A81" s="44">
        <v>7.587188612099645</v>
      </c>
      <c r="B81" s="44">
        <v>425.37203233523263</v>
      </c>
    </row>
    <row r="82" spans="1:2" x14ac:dyDescent="0.25">
      <c r="A82" s="44">
        <v>7.6583629893238427</v>
      </c>
      <c r="B82" s="44">
        <v>422.31495781682048</v>
      </c>
    </row>
    <row r="83" spans="1:2" x14ac:dyDescent="0.25">
      <c r="A83" s="44">
        <v>7.8007117437722417</v>
      </c>
      <c r="B83" s="44">
        <v>418.2515100700881</v>
      </c>
    </row>
    <row r="84" spans="1:2" x14ac:dyDescent="0.25">
      <c r="A84" s="44">
        <v>7.8718861209964412</v>
      </c>
      <c r="B84" s="44">
        <v>415.65806257290575</v>
      </c>
    </row>
    <row r="85" spans="1:2" x14ac:dyDescent="0.25">
      <c r="A85" s="44">
        <v>7.9430604982206399</v>
      </c>
      <c r="B85" s="44">
        <v>412.84203178029048</v>
      </c>
    </row>
    <row r="86" spans="1:2" x14ac:dyDescent="0.25">
      <c r="A86" s="44">
        <v>8.085409252669038</v>
      </c>
      <c r="B86" s="44">
        <v>410.38208416466324</v>
      </c>
    </row>
    <row r="87" spans="1:2" x14ac:dyDescent="0.25">
      <c r="A87" s="44">
        <v>8.1565836298932375</v>
      </c>
      <c r="B87" s="44">
        <v>408.47751125880734</v>
      </c>
    </row>
    <row r="88" spans="1:2" x14ac:dyDescent="0.25">
      <c r="A88" s="44">
        <v>8.2989323843416365</v>
      </c>
      <c r="B88" s="44">
        <v>406.02712976633143</v>
      </c>
    </row>
    <row r="89" spans="1:2" x14ac:dyDescent="0.25">
      <c r="A89" s="44">
        <v>8.370106761565836</v>
      </c>
      <c r="B89" s="44">
        <v>403.45375810806939</v>
      </c>
    </row>
    <row r="90" spans="1:2" x14ac:dyDescent="0.25">
      <c r="A90" s="44">
        <v>8.4412811387900355</v>
      </c>
      <c r="B90" s="44">
        <v>400.88390372486219</v>
      </c>
    </row>
    <row r="91" spans="1:2" x14ac:dyDescent="0.25">
      <c r="A91" s="44">
        <v>8.5836298932384327</v>
      </c>
      <c r="B91" s="44">
        <v>398.2245467682128</v>
      </c>
    </row>
    <row r="92" spans="1:2" x14ac:dyDescent="0.25">
      <c r="A92" s="44">
        <v>8.654804270462634</v>
      </c>
      <c r="B92" s="44">
        <v>396.56073113021182</v>
      </c>
    </row>
    <row r="93" spans="1:2" x14ac:dyDescent="0.25">
      <c r="A93" s="44">
        <v>8.797153024911033</v>
      </c>
      <c r="B93" s="44">
        <v>394.35947040631481</v>
      </c>
    </row>
    <row r="94" spans="1:2" x14ac:dyDescent="0.25">
      <c r="A94" s="44">
        <v>8.8683274021352307</v>
      </c>
      <c r="B94" s="44">
        <v>392.70113707396087</v>
      </c>
    </row>
    <row r="95" spans="1:2" x14ac:dyDescent="0.25">
      <c r="A95" s="44">
        <v>8.9395017793594302</v>
      </c>
      <c r="B95" s="44">
        <v>391.0449225285189</v>
      </c>
    </row>
    <row r="96" spans="1:2" x14ac:dyDescent="0.25">
      <c r="A96" s="44">
        <v>9.0818505338078293</v>
      </c>
      <c r="B96" s="44">
        <v>389.30197495778788</v>
      </c>
    </row>
    <row r="97" spans="1:2" x14ac:dyDescent="0.25">
      <c r="A97" s="44">
        <v>9.153024911032027</v>
      </c>
      <c r="B97" s="44">
        <v>388.5434082286954</v>
      </c>
    </row>
    <row r="98" spans="1:2" x14ac:dyDescent="0.25">
      <c r="A98" s="44">
        <v>9.295373665480426</v>
      </c>
      <c r="B98" s="44">
        <v>387.47399398911568</v>
      </c>
    </row>
    <row r="99" spans="1:2" x14ac:dyDescent="0.25">
      <c r="A99" s="44">
        <v>9.3665480427046273</v>
      </c>
      <c r="B99" s="44">
        <v>386.71723853429535</v>
      </c>
    </row>
    <row r="100" spans="1:2" x14ac:dyDescent="0.25">
      <c r="A100" s="44">
        <v>9.437722419928825</v>
      </c>
      <c r="B100" s="44">
        <v>385.73877383913106</v>
      </c>
    </row>
    <row r="101" spans="1:2" x14ac:dyDescent="0.25">
      <c r="A101" s="44">
        <v>9.580071174377224</v>
      </c>
      <c r="B101" s="44">
        <v>384.67337387952722</v>
      </c>
    </row>
    <row r="102" spans="1:2" x14ac:dyDescent="0.25">
      <c r="A102" s="44">
        <v>9.6512455516014235</v>
      </c>
      <c r="B102" s="44">
        <v>383.91932480876619</v>
      </c>
    </row>
    <row r="103" spans="1:2" x14ac:dyDescent="0.25">
      <c r="A103" s="44">
        <v>9.7935943060498207</v>
      </c>
      <c r="B103" s="44">
        <v>383.07805401562342</v>
      </c>
    </row>
    <row r="104" spans="1:2" x14ac:dyDescent="0.25">
      <c r="A104" s="44">
        <v>9.8647686832740202</v>
      </c>
      <c r="B104" s="44">
        <v>382.76840275412872</v>
      </c>
    </row>
    <row r="105" spans="1:2" x14ac:dyDescent="0.25">
      <c r="A105" s="44">
        <v>9.9359430604982197</v>
      </c>
      <c r="B105" s="44">
        <v>382.01636082335546</v>
      </c>
    </row>
    <row r="106" spans="1:2" x14ac:dyDescent="0.25">
      <c r="A106" s="44">
        <v>10.078291814946619</v>
      </c>
      <c r="B106" s="44">
        <v>380.95615033802198</v>
      </c>
    </row>
    <row r="107" spans="1:2" x14ac:dyDescent="0.25">
      <c r="A107" s="44">
        <v>10.149466192170818</v>
      </c>
      <c r="B107" s="44">
        <v>380.20591968152092</v>
      </c>
    </row>
    <row r="108" spans="1:2" x14ac:dyDescent="0.25">
      <c r="A108" s="44">
        <v>10.291814946619217</v>
      </c>
      <c r="B108" s="44">
        <v>378.92795107172577</v>
      </c>
    </row>
    <row r="109" spans="1:2" x14ac:dyDescent="0.25">
      <c r="A109" s="44">
        <v>10.362989323843415</v>
      </c>
      <c r="B109" s="44">
        <v>377.95954950463369</v>
      </c>
    </row>
    <row r="110" spans="1:2" x14ac:dyDescent="0.25">
      <c r="A110" s="44">
        <v>10.434163701067616</v>
      </c>
      <c r="B110" s="44">
        <v>375.67232474916756</v>
      </c>
    </row>
    <row r="111" spans="1:2" x14ac:dyDescent="0.25">
      <c r="A111" s="44">
        <v>10.576512455516013</v>
      </c>
      <c r="B111" s="44">
        <v>373.74296895122274</v>
      </c>
    </row>
    <row r="112" spans="1:2" x14ac:dyDescent="0.25">
      <c r="A112" s="44">
        <v>10.647686832740213</v>
      </c>
      <c r="B112" s="44">
        <v>372.99935368526747</v>
      </c>
    </row>
    <row r="113" spans="1:2" x14ac:dyDescent="0.25">
      <c r="A113" s="44">
        <v>10.790035587188612</v>
      </c>
      <c r="B113" s="44">
        <v>371.73339217943868</v>
      </c>
    </row>
    <row r="114" spans="1:2" x14ac:dyDescent="0.25">
      <c r="A114" s="44">
        <v>10.861209964412812</v>
      </c>
      <c r="B114" s="44">
        <v>370.5538963612612</v>
      </c>
    </row>
    <row r="115" spans="1:2" x14ac:dyDescent="0.25">
      <c r="A115" s="44">
        <v>10.932384341637011</v>
      </c>
      <c r="B115" s="44">
        <v>369.15706157818613</v>
      </c>
    </row>
    <row r="116" spans="1:2" x14ac:dyDescent="0.25">
      <c r="A116" s="44">
        <v>11.074733096085408</v>
      </c>
      <c r="B116" s="44">
        <v>367.46074393517807</v>
      </c>
    </row>
    <row r="117" spans="1:2" x14ac:dyDescent="0.25">
      <c r="A117" s="44">
        <v>11.14590747330961</v>
      </c>
      <c r="B117" s="44">
        <v>366.06834259164305</v>
      </c>
    </row>
    <row r="118" spans="1:2" x14ac:dyDescent="0.25">
      <c r="A118" s="44">
        <v>11.288256227758007</v>
      </c>
      <c r="B118" s="44">
        <v>364.378269662447</v>
      </c>
    </row>
    <row r="119" spans="1:2" x14ac:dyDescent="0.25">
      <c r="A119" s="44">
        <v>11.359430604982206</v>
      </c>
      <c r="B119" s="44">
        <v>363.4257210417141</v>
      </c>
    </row>
    <row r="120" spans="1:2" x14ac:dyDescent="0.25">
      <c r="A120" s="44">
        <v>11.501779359430605</v>
      </c>
      <c r="B120" s="44">
        <v>361.52383356266341</v>
      </c>
    </row>
    <row r="121" spans="1:2" x14ac:dyDescent="0.25">
      <c r="A121" s="44">
        <v>11.572953736654803</v>
      </c>
      <c r="B121" s="44">
        <v>360.35730949576799</v>
      </c>
    </row>
    <row r="122" spans="1:2" x14ac:dyDescent="0.25">
      <c r="A122" s="44">
        <v>11.644128113879002</v>
      </c>
      <c r="B122" s="44">
        <v>359.19220497171318</v>
      </c>
    </row>
    <row r="123" spans="1:2" x14ac:dyDescent="0.25">
      <c r="A123" s="44">
        <v>11.786476868327401</v>
      </c>
      <c r="B123" s="44">
        <v>357.0829153276498</v>
      </c>
    </row>
    <row r="124" spans="1:2" x14ac:dyDescent="0.25">
      <c r="A124" s="44">
        <v>11.857651245551601</v>
      </c>
      <c r="B124" s="44">
        <v>356.13838058560538</v>
      </c>
    </row>
    <row r="125" spans="1:2" x14ac:dyDescent="0.25">
      <c r="A125" s="44">
        <v>12</v>
      </c>
      <c r="B125" s="44">
        <v>354.90092989134303</v>
      </c>
    </row>
    <row r="126" spans="1:2" x14ac:dyDescent="0.25">
      <c r="A126" s="44">
        <v>12.0711743772242</v>
      </c>
      <c r="B126" s="44">
        <v>354.1750420101128</v>
      </c>
    </row>
    <row r="127" spans="1:2" x14ac:dyDescent="0.25">
      <c r="A127" s="44">
        <v>12.142348754448399</v>
      </c>
      <c r="B127" s="44">
        <v>353.66566114808654</v>
      </c>
    </row>
    <row r="128" spans="1:2" x14ac:dyDescent="0.25">
      <c r="A128" s="44">
        <v>12.284697508896796</v>
      </c>
      <c r="B128" s="44">
        <v>352.86344855263383</v>
      </c>
    </row>
    <row r="129" spans="1:2" x14ac:dyDescent="0.25">
      <c r="A129" s="44">
        <v>12.355871886120996</v>
      </c>
      <c r="B129" s="44">
        <v>352.35500490979047</v>
      </c>
    </row>
    <row r="130" spans="1:2" x14ac:dyDescent="0.25">
      <c r="A130" s="44">
        <v>12.498220640569393</v>
      </c>
      <c r="B130" s="44">
        <v>351.12431698895915</v>
      </c>
    </row>
    <row r="131" spans="1:2" x14ac:dyDescent="0.25">
      <c r="A131" s="44">
        <v>12.569395017793594</v>
      </c>
      <c r="B131" s="44">
        <v>350.40242233300677</v>
      </c>
    </row>
    <row r="132" spans="1:2" x14ac:dyDescent="0.25">
      <c r="A132" s="44">
        <v>12.640569395017792</v>
      </c>
      <c r="B132" s="44">
        <v>350.11037406244327</v>
      </c>
    </row>
    <row r="133" spans="1:2" x14ac:dyDescent="0.25">
      <c r="A133" s="44">
        <v>12.782918149466195</v>
      </c>
      <c r="B133" s="44">
        <v>349.52634068541005</v>
      </c>
    </row>
    <row r="134" spans="1:2" x14ac:dyDescent="0.25">
      <c r="A134" s="44">
        <v>12.854092526690392</v>
      </c>
      <c r="B134" s="44">
        <v>349.23435557894032</v>
      </c>
    </row>
    <row r="135" spans="1:2" x14ac:dyDescent="0.25">
      <c r="A135" s="44">
        <v>12.996441281138788</v>
      </c>
      <c r="B135" s="44">
        <v>348.65044853009431</v>
      </c>
    </row>
    <row r="136" spans="1:2" x14ac:dyDescent="0.25">
      <c r="A136" s="44">
        <v>13.067615658362989</v>
      </c>
      <c r="B136" s="44">
        <v>348.3585265877183</v>
      </c>
    </row>
    <row r="137" spans="1:2" x14ac:dyDescent="0.25">
      <c r="A137" s="44">
        <v>13.138790035587188</v>
      </c>
      <c r="B137" s="44">
        <v>348.27996506622492</v>
      </c>
    </row>
    <row r="138" spans="1:2" x14ac:dyDescent="0.25">
      <c r="A138" s="44">
        <v>13.281138790035588</v>
      </c>
      <c r="B138" s="44">
        <v>347.48288708877726</v>
      </c>
    </row>
    <row r="139" spans="1:2" x14ac:dyDescent="0.25">
      <c r="A139" s="44">
        <v>13.352313167259785</v>
      </c>
      <c r="B139" s="44">
        <v>346.97823443206141</v>
      </c>
    </row>
    <row r="140" spans="1:2" x14ac:dyDescent="0.25">
      <c r="A140" s="44">
        <v>13.494661921708188</v>
      </c>
      <c r="B140" s="44">
        <v>345.97004114883043</v>
      </c>
    </row>
    <row r="141" spans="1:2" x14ac:dyDescent="0.25">
      <c r="A141" s="44">
        <v>13.565836298932382</v>
      </c>
      <c r="B141" s="44">
        <v>344.61733852200427</v>
      </c>
    </row>
    <row r="142" spans="1:2" x14ac:dyDescent="0.25">
      <c r="A142" s="44">
        <v>13.637010676156583</v>
      </c>
      <c r="B142" s="44">
        <v>343.47852074911441</v>
      </c>
    </row>
    <row r="143" spans="1:2" x14ac:dyDescent="0.25">
      <c r="A143" s="44">
        <v>13.779359430604982</v>
      </c>
      <c r="B143" s="44">
        <v>342.4757402340021</v>
      </c>
    </row>
    <row r="144" spans="1:2" x14ac:dyDescent="0.25">
      <c r="A144" s="44">
        <v>13.850533807829182</v>
      </c>
      <c r="B144" s="44">
        <v>341.34013222352718</v>
      </c>
    </row>
    <row r="145" spans="1:2" x14ac:dyDescent="0.25">
      <c r="A145" s="44">
        <v>13.992882562277581</v>
      </c>
      <c r="B145" s="44">
        <v>340.76310790286487</v>
      </c>
    </row>
    <row r="146" spans="1:2" x14ac:dyDescent="0.25">
      <c r="A146" s="44">
        <v>14.064056939501778</v>
      </c>
      <c r="B146" s="44">
        <v>340.47462732458052</v>
      </c>
    </row>
    <row r="147" spans="1:2" x14ac:dyDescent="0.25">
      <c r="A147" s="44">
        <v>14.206405693950177</v>
      </c>
      <c r="B147" s="44">
        <v>340.10844653302252</v>
      </c>
    </row>
    <row r="148" spans="1:2" x14ac:dyDescent="0.25">
      <c r="A148" s="44">
        <v>14.277580071174375</v>
      </c>
      <c r="B148" s="44">
        <v>340.2409390876125</v>
      </c>
    </row>
    <row r="149" spans="1:2" x14ac:dyDescent="0.25">
      <c r="A149" s="44">
        <v>14.348754448398576</v>
      </c>
      <c r="B149" s="44">
        <v>339.95201829506607</v>
      </c>
    </row>
    <row r="150" spans="1:2" x14ac:dyDescent="0.25">
      <c r="A150" s="44">
        <v>14.491103202846976</v>
      </c>
      <c r="B150" s="44">
        <v>339.5842578309128</v>
      </c>
    </row>
    <row r="151" spans="1:2" x14ac:dyDescent="0.25">
      <c r="A151" s="44">
        <v>14.562277580071175</v>
      </c>
      <c r="B151" s="44">
        <v>339.08538224561437</v>
      </c>
    </row>
    <row r="152" spans="1:2" x14ac:dyDescent="0.25">
      <c r="A152" s="44">
        <v>14.704626334519574</v>
      </c>
      <c r="B152" s="44">
        <v>338.71722367659481</v>
      </c>
    </row>
    <row r="153" spans="1:2" x14ac:dyDescent="0.25">
      <c r="A153" s="44">
        <v>14.77580071174377</v>
      </c>
      <c r="B153" s="44">
        <v>338.00961697566942</v>
      </c>
    </row>
    <row r="154" spans="1:2" x14ac:dyDescent="0.25">
      <c r="A154" s="44">
        <v>14.846975088967969</v>
      </c>
      <c r="B154" s="44">
        <v>337.7210183770261</v>
      </c>
    </row>
    <row r="155" spans="1:2" x14ac:dyDescent="0.25">
      <c r="A155" s="44">
        <v>14.989323843416368</v>
      </c>
      <c r="B155" s="44">
        <v>336.72629578439165</v>
      </c>
    </row>
    <row r="156" spans="1:2" x14ac:dyDescent="0.25">
      <c r="A156" s="44">
        <v>15.06049822064057</v>
      </c>
      <c r="B156" s="44">
        <v>336.22949050317487</v>
      </c>
    </row>
    <row r="157" spans="1:2" ht="12.75" x14ac:dyDescent="0.2">
      <c r="A157" s="45"/>
      <c r="B157" s="45"/>
    </row>
    <row r="158" spans="1:2" ht="12.75" x14ac:dyDescent="0.2">
      <c r="A158" s="45"/>
      <c r="B158" s="45"/>
    </row>
    <row r="159" spans="1:2" ht="12.75" x14ac:dyDescent="0.2">
      <c r="A159" s="45"/>
      <c r="B159" s="45"/>
    </row>
    <row r="160" spans="1:2" ht="12.75" x14ac:dyDescent="0.2">
      <c r="A160" s="45"/>
      <c r="B160" s="45"/>
    </row>
    <row r="161" spans="1:2" ht="12.75" x14ac:dyDescent="0.2">
      <c r="A161" s="45"/>
      <c r="B161" s="45"/>
    </row>
    <row r="162" spans="1:2" ht="12.75" x14ac:dyDescent="0.2">
      <c r="A162" s="45"/>
      <c r="B162" s="45"/>
    </row>
    <row r="163" spans="1:2" ht="12.75" x14ac:dyDescent="0.2">
      <c r="A163" s="45"/>
      <c r="B163" s="45"/>
    </row>
    <row r="164" spans="1:2" ht="12.75" x14ac:dyDescent="0.2">
      <c r="A164" s="45"/>
      <c r="B164" s="45"/>
    </row>
    <row r="165" spans="1:2" ht="12.75" x14ac:dyDescent="0.2">
      <c r="A165" s="45"/>
      <c r="B165" s="45"/>
    </row>
    <row r="166" spans="1:2" ht="12.75" x14ac:dyDescent="0.2">
      <c r="A166" s="45"/>
      <c r="B166" s="45"/>
    </row>
    <row r="167" spans="1:2" ht="12.75" x14ac:dyDescent="0.2">
      <c r="A167" s="45"/>
      <c r="B167" s="45"/>
    </row>
    <row r="168" spans="1:2" ht="12.75" x14ac:dyDescent="0.2">
      <c r="A168" s="45"/>
      <c r="B168" s="45"/>
    </row>
    <row r="169" spans="1:2" ht="12.75" x14ac:dyDescent="0.2">
      <c r="A169" s="45"/>
      <c r="B169" s="45"/>
    </row>
    <row r="170" spans="1:2" ht="12.75" x14ac:dyDescent="0.2">
      <c r="A170" s="45"/>
      <c r="B170" s="45"/>
    </row>
    <row r="171" spans="1:2" ht="12.75" x14ac:dyDescent="0.2">
      <c r="A171" s="45"/>
      <c r="B171" s="45"/>
    </row>
    <row r="172" spans="1:2" ht="12.75" x14ac:dyDescent="0.2">
      <c r="A172" s="45"/>
      <c r="B172" s="45"/>
    </row>
    <row r="173" spans="1:2" ht="12.75" x14ac:dyDescent="0.2">
      <c r="A173" s="45"/>
      <c r="B173" s="45"/>
    </row>
    <row r="174" spans="1:2" ht="12.75" x14ac:dyDescent="0.2">
      <c r="A174" s="45"/>
      <c r="B174" s="45"/>
    </row>
    <row r="175" spans="1:2" ht="12.75" x14ac:dyDescent="0.2">
      <c r="A175" s="45"/>
      <c r="B175" s="45"/>
    </row>
    <row r="176" spans="1:2" ht="12.75" x14ac:dyDescent="0.2">
      <c r="A176" s="45"/>
      <c r="B176" s="45"/>
    </row>
    <row r="177" spans="1:2" ht="12.75" x14ac:dyDescent="0.2">
      <c r="A177" s="45"/>
      <c r="B177" s="45"/>
    </row>
    <row r="178" spans="1:2" ht="12.75" x14ac:dyDescent="0.2">
      <c r="A178" s="45"/>
      <c r="B178" s="45"/>
    </row>
    <row r="179" spans="1:2" ht="12.75" x14ac:dyDescent="0.2">
      <c r="A179" s="45"/>
      <c r="B179" s="45"/>
    </row>
    <row r="180" spans="1:2" ht="12.75" x14ac:dyDescent="0.2">
      <c r="A180" s="45"/>
      <c r="B180" s="45"/>
    </row>
    <row r="181" spans="1:2" ht="12.75" x14ac:dyDescent="0.2">
      <c r="A181" s="45"/>
      <c r="B181" s="45"/>
    </row>
    <row r="182" spans="1:2" ht="12.75" x14ac:dyDescent="0.2">
      <c r="A182" s="45"/>
      <c r="B182" s="45"/>
    </row>
    <row r="183" spans="1:2" ht="12.75" x14ac:dyDescent="0.2">
      <c r="A183" s="45"/>
      <c r="B183" s="45"/>
    </row>
    <row r="184" spans="1:2" ht="12.75" x14ac:dyDescent="0.2">
      <c r="A184" s="45"/>
      <c r="B184" s="45"/>
    </row>
    <row r="185" spans="1:2" ht="12.75" x14ac:dyDescent="0.2">
      <c r="A185" s="45"/>
      <c r="B185" s="45"/>
    </row>
    <row r="186" spans="1:2" ht="12.75" x14ac:dyDescent="0.2">
      <c r="A186" s="45"/>
      <c r="B186" s="45"/>
    </row>
    <row r="187" spans="1:2" ht="12.75" x14ac:dyDescent="0.2">
      <c r="A187" s="45"/>
      <c r="B187" s="45"/>
    </row>
    <row r="188" spans="1:2" ht="12.75" x14ac:dyDescent="0.2">
      <c r="A188" s="45"/>
      <c r="B188" s="45"/>
    </row>
    <row r="189" spans="1:2" ht="12.75" x14ac:dyDescent="0.2">
      <c r="A189" s="45"/>
      <c r="B189" s="45"/>
    </row>
    <row r="190" spans="1:2" ht="12.75" x14ac:dyDescent="0.2">
      <c r="A190" s="45"/>
      <c r="B190" s="45"/>
    </row>
    <row r="191" spans="1:2" ht="12.75" x14ac:dyDescent="0.2">
      <c r="A191" s="45"/>
      <c r="B191" s="45"/>
    </row>
    <row r="192" spans="1:2" ht="12.75" x14ac:dyDescent="0.2">
      <c r="A192" s="45"/>
      <c r="B192" s="45"/>
    </row>
    <row r="193" spans="1:2" ht="12.75" x14ac:dyDescent="0.2">
      <c r="A193" s="45"/>
      <c r="B193" s="45"/>
    </row>
    <row r="194" spans="1:2" ht="12.75" x14ac:dyDescent="0.2">
      <c r="A194" s="45"/>
      <c r="B194" s="45"/>
    </row>
    <row r="195" spans="1:2" ht="12.75" x14ac:dyDescent="0.2">
      <c r="A195" s="45"/>
      <c r="B195" s="45"/>
    </row>
    <row r="196" spans="1:2" ht="12.75" x14ac:dyDescent="0.2">
      <c r="A196" s="45"/>
      <c r="B196" s="45"/>
    </row>
    <row r="197" spans="1:2" ht="12.75" x14ac:dyDescent="0.2">
      <c r="A197" s="45"/>
      <c r="B197" s="45"/>
    </row>
    <row r="198" spans="1:2" ht="12.75" x14ac:dyDescent="0.2">
      <c r="A198" s="45"/>
      <c r="B198" s="45"/>
    </row>
    <row r="199" spans="1:2" ht="12.75" x14ac:dyDescent="0.2">
      <c r="A199" s="45"/>
      <c r="B199" s="45"/>
    </row>
    <row r="200" spans="1:2" ht="12.75" x14ac:dyDescent="0.2">
      <c r="A200" s="45"/>
      <c r="B200" s="45"/>
    </row>
    <row r="201" spans="1:2" ht="12.75" x14ac:dyDescent="0.2">
      <c r="A201" s="45"/>
      <c r="B201" s="45"/>
    </row>
    <row r="202" spans="1:2" ht="12.75" x14ac:dyDescent="0.2">
      <c r="A202" s="45"/>
      <c r="B202" s="45"/>
    </row>
    <row r="203" spans="1:2" ht="12.75" x14ac:dyDescent="0.2">
      <c r="A203" s="45"/>
      <c r="B203" s="45"/>
    </row>
    <row r="204" spans="1:2" ht="12.75" x14ac:dyDescent="0.2">
      <c r="A204" s="45"/>
      <c r="B204" s="45"/>
    </row>
    <row r="205" spans="1:2" ht="12.75" x14ac:dyDescent="0.2">
      <c r="A205" s="45"/>
      <c r="B205" s="45"/>
    </row>
    <row r="206" spans="1:2" ht="12.75" x14ac:dyDescent="0.2">
      <c r="A206" s="45"/>
      <c r="B206" s="45"/>
    </row>
    <row r="207" spans="1:2" ht="12.75" x14ac:dyDescent="0.2">
      <c r="A207" s="45"/>
      <c r="B207" s="45"/>
    </row>
    <row r="208" spans="1:2" ht="12.75" x14ac:dyDescent="0.2">
      <c r="A208" s="45"/>
      <c r="B208" s="45"/>
    </row>
    <row r="209" spans="1:2" ht="12.75" x14ac:dyDescent="0.2">
      <c r="A209" s="45"/>
      <c r="B209" s="45"/>
    </row>
    <row r="210" spans="1:2" ht="12.75" x14ac:dyDescent="0.2">
      <c r="A210" s="45"/>
      <c r="B210" s="45"/>
    </row>
    <row r="211" spans="1:2" ht="12.75" x14ac:dyDescent="0.2">
      <c r="A211" s="45"/>
      <c r="B211" s="45"/>
    </row>
    <row r="212" spans="1:2" ht="12.75" x14ac:dyDescent="0.2">
      <c r="A212" s="45"/>
      <c r="B212" s="45"/>
    </row>
    <row r="213" spans="1:2" ht="12.75" x14ac:dyDescent="0.2">
      <c r="A213" s="45"/>
      <c r="B213" s="45"/>
    </row>
    <row r="214" spans="1:2" ht="12.75" x14ac:dyDescent="0.2">
      <c r="A214" s="45"/>
      <c r="B214" s="45"/>
    </row>
    <row r="215" spans="1:2" ht="12.75" x14ac:dyDescent="0.2">
      <c r="A215" s="45"/>
      <c r="B215" s="45"/>
    </row>
    <row r="216" spans="1:2" ht="12.75" x14ac:dyDescent="0.2">
      <c r="A216" s="45"/>
      <c r="B216" s="45"/>
    </row>
    <row r="217" spans="1:2" ht="12.75" x14ac:dyDescent="0.2">
      <c r="A217" s="45"/>
      <c r="B217" s="45"/>
    </row>
    <row r="218" spans="1:2" ht="12.75" x14ac:dyDescent="0.2">
      <c r="A218" s="45"/>
      <c r="B218" s="45"/>
    </row>
    <row r="219" spans="1:2" ht="12.75" x14ac:dyDescent="0.2">
      <c r="A219" s="45"/>
      <c r="B219" s="45"/>
    </row>
    <row r="220" spans="1:2" ht="12.75" x14ac:dyDescent="0.2">
      <c r="A220" s="45"/>
      <c r="B220" s="45"/>
    </row>
    <row r="221" spans="1:2" ht="12.75" x14ac:dyDescent="0.2">
      <c r="A221" s="45"/>
      <c r="B221" s="45"/>
    </row>
    <row r="222" spans="1:2" ht="12.75" x14ac:dyDescent="0.2">
      <c r="A222" s="45"/>
      <c r="B222" s="45"/>
    </row>
    <row r="223" spans="1:2" ht="12.75" x14ac:dyDescent="0.2">
      <c r="A223" s="45"/>
      <c r="B223" s="45"/>
    </row>
    <row r="224" spans="1:2" ht="12.75" x14ac:dyDescent="0.2">
      <c r="A224" s="45"/>
      <c r="B224" s="45"/>
    </row>
    <row r="225" spans="1:2" ht="12.75" x14ac:dyDescent="0.2">
      <c r="A225" s="45"/>
      <c r="B225" s="45"/>
    </row>
    <row r="226" spans="1:2" ht="12.75" x14ac:dyDescent="0.2">
      <c r="A226" s="45"/>
      <c r="B226" s="45"/>
    </row>
    <row r="227" spans="1:2" ht="12.75" x14ac:dyDescent="0.2">
      <c r="A227" s="45"/>
      <c r="B227" s="45"/>
    </row>
    <row r="228" spans="1:2" ht="12.75" x14ac:dyDescent="0.2">
      <c r="A228" s="45"/>
      <c r="B228" s="45"/>
    </row>
    <row r="229" spans="1:2" ht="12.75" x14ac:dyDescent="0.2">
      <c r="A229" s="45"/>
      <c r="B229" s="45"/>
    </row>
    <row r="230" spans="1:2" ht="12.75" x14ac:dyDescent="0.2">
      <c r="A230" s="45"/>
      <c r="B230" s="45"/>
    </row>
    <row r="231" spans="1:2" ht="12.75" x14ac:dyDescent="0.2">
      <c r="A231" s="45"/>
      <c r="B231" s="45"/>
    </row>
    <row r="232" spans="1:2" ht="12.75" x14ac:dyDescent="0.2">
      <c r="A232" s="45"/>
      <c r="B232" s="45"/>
    </row>
    <row r="233" spans="1:2" ht="12.75" x14ac:dyDescent="0.2">
      <c r="A233" s="45"/>
      <c r="B233" s="45"/>
    </row>
    <row r="234" spans="1:2" ht="12.75" x14ac:dyDescent="0.2">
      <c r="A234" s="45"/>
      <c r="B234" s="45"/>
    </row>
    <row r="235" spans="1:2" ht="12.75" x14ac:dyDescent="0.2">
      <c r="A235" s="45"/>
      <c r="B235" s="45"/>
    </row>
    <row r="236" spans="1:2" ht="12.75" x14ac:dyDescent="0.2">
      <c r="A236" s="45"/>
      <c r="B236" s="45"/>
    </row>
    <row r="237" spans="1:2" ht="12.75" x14ac:dyDescent="0.2">
      <c r="A237" s="45"/>
      <c r="B237" s="45"/>
    </row>
    <row r="238" spans="1:2" ht="12.75" x14ac:dyDescent="0.2">
      <c r="A238" s="45"/>
      <c r="B238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3" x14ac:dyDescent="0.2">
      <c r="A1" s="40" t="s">
        <v>26</v>
      </c>
    </row>
    <row r="3" spans="1:3" s="14" customFormat="1" x14ac:dyDescent="0.2">
      <c r="A3" s="42" t="s">
        <v>24</v>
      </c>
      <c r="B3" s="42" t="s">
        <v>27</v>
      </c>
    </row>
    <row r="4" spans="1:3" s="14" customFormat="1" x14ac:dyDescent="0.2">
      <c r="A4" s="43" t="s">
        <v>22</v>
      </c>
      <c r="B4" s="43" t="s">
        <v>23</v>
      </c>
    </row>
    <row r="5" spans="1:3" s="14" customFormat="1" x14ac:dyDescent="0.25">
      <c r="A5" s="44">
        <v>0</v>
      </c>
      <c r="B5" s="44">
        <v>0</v>
      </c>
      <c r="C5" s="15"/>
    </row>
    <row r="6" spans="1:3" s="14" customFormat="1" x14ac:dyDescent="0.25">
      <c r="A6" s="44">
        <v>0.1</v>
      </c>
      <c r="B6" s="44">
        <v>16.139997716139195</v>
      </c>
      <c r="C6" s="15"/>
    </row>
    <row r="7" spans="1:3" s="14" customFormat="1" x14ac:dyDescent="0.25">
      <c r="A7" s="44">
        <v>0.2</v>
      </c>
      <c r="B7" s="44">
        <v>34.21982044980787</v>
      </c>
      <c r="C7" s="15"/>
    </row>
    <row r="8" spans="1:3" s="14" customFormat="1" x14ac:dyDescent="0.25">
      <c r="A8" s="44">
        <v>0.3</v>
      </c>
      <c r="B8" s="44">
        <v>47.708722091526809</v>
      </c>
      <c r="C8" s="15"/>
    </row>
    <row r="9" spans="1:3" x14ac:dyDescent="0.25">
      <c r="A9" s="44">
        <v>0.4</v>
      </c>
      <c r="B9" s="44">
        <v>57.193610048878988</v>
      </c>
      <c r="C9" s="15"/>
    </row>
    <row r="10" spans="1:3" x14ac:dyDescent="0.25">
      <c r="A10" s="44">
        <v>0.5</v>
      </c>
      <c r="B10" s="44">
        <v>66.238775824521454</v>
      </c>
      <c r="C10" s="15"/>
    </row>
    <row r="11" spans="1:3" x14ac:dyDescent="0.25">
      <c r="A11" s="44">
        <v>0.6</v>
      </c>
      <c r="B11" s="44">
        <v>74.050690697551659</v>
      </c>
      <c r="C11" s="15"/>
    </row>
    <row r="12" spans="1:3" x14ac:dyDescent="0.25">
      <c r="A12" s="44">
        <v>0.7</v>
      </c>
      <c r="B12" s="44">
        <v>80.430729298990897</v>
      </c>
      <c r="C12" s="15"/>
    </row>
    <row r="13" spans="1:3" x14ac:dyDescent="0.25">
      <c r="A13" s="44">
        <v>0.8</v>
      </c>
      <c r="B13" s="44">
        <v>86.646223342086785</v>
      </c>
      <c r="C13" s="15"/>
    </row>
    <row r="14" spans="1:3" x14ac:dyDescent="0.25">
      <c r="A14" s="44">
        <v>0.90000000000000013</v>
      </c>
      <c r="B14" s="44">
        <v>92.546217546415491</v>
      </c>
      <c r="C14" s="15"/>
    </row>
    <row r="15" spans="1:3" x14ac:dyDescent="0.25">
      <c r="A15" s="44">
        <v>1</v>
      </c>
      <c r="B15" s="44">
        <v>97.929947500563216</v>
      </c>
      <c r="C15" s="15"/>
    </row>
    <row r="16" spans="1:3" x14ac:dyDescent="0.25">
      <c r="A16" s="44">
        <v>1.1000000000000001</v>
      </c>
      <c r="B16" s="44">
        <v>102.89967980476304</v>
      </c>
      <c r="C16" s="15"/>
    </row>
    <row r="17" spans="1:3" x14ac:dyDescent="0.25">
      <c r="A17" s="44">
        <v>1.2</v>
      </c>
      <c r="B17" s="44">
        <v>107.30568148855416</v>
      </c>
      <c r="C17" s="15"/>
    </row>
    <row r="18" spans="1:3" x14ac:dyDescent="0.25">
      <c r="A18" s="44">
        <v>1.3</v>
      </c>
      <c r="B18" s="44">
        <v>111.55177320594476</v>
      </c>
      <c r="C18" s="15"/>
    </row>
    <row r="19" spans="1:3" x14ac:dyDescent="0.25">
      <c r="A19" s="44">
        <v>1.4</v>
      </c>
      <c r="B19" s="44">
        <v>115.88949616139269</v>
      </c>
      <c r="C19" s="15"/>
    </row>
    <row r="20" spans="1:3" x14ac:dyDescent="0.25">
      <c r="A20" s="44">
        <v>1.5</v>
      </c>
      <c r="B20" s="44">
        <v>119.66639148259388</v>
      </c>
      <c r="C20" s="15"/>
    </row>
    <row r="21" spans="1:3" x14ac:dyDescent="0.25">
      <c r="A21" s="44">
        <v>1.6</v>
      </c>
      <c r="B21" s="44">
        <v>123.08459867967052</v>
      </c>
      <c r="C21" s="15"/>
    </row>
    <row r="22" spans="1:3" x14ac:dyDescent="0.25">
      <c r="A22" s="44">
        <v>1.7000000000000002</v>
      </c>
      <c r="B22" s="44">
        <v>126.64582506283</v>
      </c>
      <c r="C22" s="15"/>
    </row>
    <row r="23" spans="1:3" x14ac:dyDescent="0.25">
      <c r="A23" s="44">
        <v>1.8000000000000003</v>
      </c>
      <c r="B23" s="44">
        <v>129.99952232061588</v>
      </c>
      <c r="C23" s="15"/>
    </row>
    <row r="24" spans="1:3" x14ac:dyDescent="0.25">
      <c r="A24" s="44">
        <v>1.9</v>
      </c>
      <c r="B24" s="44">
        <v>133.14630160800959</v>
      </c>
      <c r="C24" s="15"/>
    </row>
    <row r="25" spans="1:3" x14ac:dyDescent="0.25">
      <c r="A25" s="44">
        <v>2</v>
      </c>
      <c r="B25" s="44">
        <v>136.13668507014623</v>
      </c>
      <c r="C25" s="15"/>
    </row>
    <row r="26" spans="1:3" x14ac:dyDescent="0.25">
      <c r="A26" s="44">
        <v>2.1</v>
      </c>
      <c r="B26" s="44">
        <v>139.0209911338338</v>
      </c>
      <c r="C26" s="15"/>
    </row>
    <row r="27" spans="1:3" x14ac:dyDescent="0.25">
      <c r="A27" s="44">
        <v>2.2000000000000002</v>
      </c>
      <c r="B27" s="44">
        <v>141.69990711458291</v>
      </c>
      <c r="C27" s="15"/>
    </row>
    <row r="28" spans="1:3" x14ac:dyDescent="0.25">
      <c r="A28" s="44">
        <v>2.2999999999999998</v>
      </c>
      <c r="B28" s="44">
        <v>144.37307697300798</v>
      </c>
      <c r="C28" s="15"/>
    </row>
    <row r="29" spans="1:3" x14ac:dyDescent="0.25">
      <c r="A29" s="44">
        <v>2.4</v>
      </c>
      <c r="B29" s="44">
        <v>146.64284253449736</v>
      </c>
      <c r="C29" s="15"/>
    </row>
    <row r="30" spans="1:3" x14ac:dyDescent="0.25">
      <c r="A30" s="44">
        <v>2.5</v>
      </c>
      <c r="B30" s="44">
        <v>148.85802050472674</v>
      </c>
      <c r="C30" s="15"/>
    </row>
    <row r="31" spans="1:3" x14ac:dyDescent="0.25">
      <c r="A31" s="44">
        <v>2.6</v>
      </c>
      <c r="B31" s="44">
        <v>151.11797449776722</v>
      </c>
      <c r="C31" s="15"/>
    </row>
    <row r="32" spans="1:3" x14ac:dyDescent="0.25">
      <c r="A32" s="44">
        <v>2.7</v>
      </c>
      <c r="B32" s="44">
        <v>153.27388827563013</v>
      </c>
      <c r="C32" s="15"/>
    </row>
    <row r="33" spans="1:3" x14ac:dyDescent="0.25">
      <c r="A33" s="44">
        <v>2.8</v>
      </c>
      <c r="B33" s="44">
        <v>155.17755675530833</v>
      </c>
      <c r="C33" s="15"/>
    </row>
    <row r="34" spans="1:3" x14ac:dyDescent="0.25">
      <c r="A34" s="44">
        <v>2.9</v>
      </c>
      <c r="B34" s="44">
        <v>156.92864912836367</v>
      </c>
      <c r="C34" s="15"/>
    </row>
    <row r="35" spans="1:3" x14ac:dyDescent="0.25">
      <c r="A35" s="44">
        <v>3</v>
      </c>
      <c r="B35" s="44">
        <v>158.7746322327109</v>
      </c>
      <c r="C35" s="15"/>
    </row>
    <row r="36" spans="1:3" x14ac:dyDescent="0.25">
      <c r="A36" s="44">
        <v>3.1</v>
      </c>
      <c r="B36" s="44">
        <v>160.32039437282779</v>
      </c>
      <c r="C36" s="15"/>
    </row>
    <row r="37" spans="1:3" x14ac:dyDescent="0.25">
      <c r="A37" s="44">
        <v>3.2</v>
      </c>
      <c r="B37" s="44">
        <v>162.01055079773585</v>
      </c>
      <c r="C37" s="15"/>
    </row>
    <row r="38" spans="1:3" x14ac:dyDescent="0.25">
      <c r="A38" s="44">
        <v>3.3000000000000003</v>
      </c>
      <c r="B38" s="44">
        <v>163.59839861324721</v>
      </c>
      <c r="C38" s="15"/>
    </row>
    <row r="39" spans="1:3" x14ac:dyDescent="0.25">
      <c r="A39" s="44">
        <v>3.4000000000000004</v>
      </c>
      <c r="B39" s="44">
        <v>165.13344137286117</v>
      </c>
      <c r="C39" s="15"/>
    </row>
    <row r="40" spans="1:3" x14ac:dyDescent="0.25">
      <c r="A40" s="44">
        <v>3.5000000000000004</v>
      </c>
      <c r="B40" s="44">
        <v>166.66497891174984</v>
      </c>
      <c r="C40" s="15"/>
    </row>
    <row r="41" spans="1:3" x14ac:dyDescent="0.25">
      <c r="A41" s="44">
        <v>3.6000000000000005</v>
      </c>
      <c r="B41" s="44">
        <v>167.99662676253334</v>
      </c>
      <c r="C41" s="15"/>
    </row>
    <row r="42" spans="1:3" x14ac:dyDescent="0.25">
      <c r="A42" s="44">
        <v>3.7000000000000006</v>
      </c>
      <c r="B42" s="44">
        <v>169.27613164198269</v>
      </c>
      <c r="C42" s="15"/>
    </row>
    <row r="43" spans="1:3" x14ac:dyDescent="0.25">
      <c r="A43" s="44">
        <v>3.8</v>
      </c>
      <c r="B43" s="44">
        <v>170.40565782348042</v>
      </c>
      <c r="C43" s="15"/>
    </row>
    <row r="44" spans="1:3" x14ac:dyDescent="0.25">
      <c r="A44" s="44">
        <v>3.9</v>
      </c>
      <c r="B44" s="44">
        <v>171.58143698566116</v>
      </c>
      <c r="C44" s="15"/>
    </row>
    <row r="45" spans="1:3" x14ac:dyDescent="0.25">
      <c r="A45" s="44">
        <v>4</v>
      </c>
      <c r="B45" s="44">
        <v>172.94999353533305</v>
      </c>
      <c r="C45" s="15"/>
    </row>
    <row r="46" spans="1:3" x14ac:dyDescent="0.25">
      <c r="A46" s="44">
        <v>4.0999999999999996</v>
      </c>
      <c r="B46" s="44">
        <v>174.02230162815414</v>
      </c>
      <c r="C46" s="15"/>
    </row>
    <row r="47" spans="1:3" x14ac:dyDescent="0.25">
      <c r="A47" s="44">
        <v>4.2</v>
      </c>
      <c r="B47" s="44">
        <v>174.99444015401363</v>
      </c>
      <c r="C47" s="15"/>
    </row>
    <row r="48" spans="1:3" x14ac:dyDescent="0.25">
      <c r="A48" s="44">
        <v>4.3</v>
      </c>
      <c r="B48" s="44">
        <v>176.11041273926469</v>
      </c>
      <c r="C48" s="15"/>
    </row>
    <row r="49" spans="1:3" x14ac:dyDescent="0.25">
      <c r="A49" s="44">
        <v>4.4000000000000004</v>
      </c>
      <c r="B49" s="44">
        <v>177.12631761671776</v>
      </c>
      <c r="C49" s="15"/>
    </row>
    <row r="50" spans="1:3" x14ac:dyDescent="0.25">
      <c r="A50" s="44">
        <v>4.5</v>
      </c>
      <c r="B50" s="44">
        <v>178.09109811447249</v>
      </c>
      <c r="C50" s="15"/>
    </row>
    <row r="51" spans="1:3" x14ac:dyDescent="0.25">
      <c r="A51" s="44">
        <v>4.5999999999999996</v>
      </c>
      <c r="B51" s="44">
        <v>178.95632020024706</v>
      </c>
      <c r="C51" s="15"/>
    </row>
    <row r="52" spans="1:3" x14ac:dyDescent="0.25">
      <c r="A52" s="44">
        <v>4.7</v>
      </c>
      <c r="B52" s="44">
        <v>179.91643301731355</v>
      </c>
      <c r="C52" s="15"/>
    </row>
    <row r="53" spans="1:3" x14ac:dyDescent="0.25">
      <c r="A53" s="44">
        <v>4.8</v>
      </c>
      <c r="B53" s="44">
        <v>180.92264602631766</v>
      </c>
      <c r="C53" s="15"/>
    </row>
    <row r="54" spans="1:3" x14ac:dyDescent="0.25">
      <c r="A54" s="44">
        <v>4.9000000000000004</v>
      </c>
      <c r="B54" s="44">
        <v>181.78107030938719</v>
      </c>
      <c r="C54" s="15"/>
    </row>
    <row r="55" spans="1:3" x14ac:dyDescent="0.25">
      <c r="A55" s="44">
        <v>5</v>
      </c>
      <c r="B55" s="44">
        <v>182.588930438158</v>
      </c>
      <c r="C55" s="15"/>
    </row>
    <row r="56" spans="1:3" x14ac:dyDescent="0.25">
      <c r="A56" s="44">
        <v>5.0999999999999996</v>
      </c>
      <c r="B56" s="44">
        <v>183.39471137449365</v>
      </c>
      <c r="C56" s="15"/>
    </row>
    <row r="57" spans="1:3" x14ac:dyDescent="0.25">
      <c r="A57" s="44">
        <v>5.2</v>
      </c>
      <c r="B57" s="44">
        <v>184.00528814424871</v>
      </c>
      <c r="C57" s="15"/>
    </row>
    <row r="58" spans="1:3" x14ac:dyDescent="0.25">
      <c r="A58" s="44">
        <v>5.3</v>
      </c>
      <c r="B58" s="44">
        <v>184.75888410008665</v>
      </c>
      <c r="C58" s="15"/>
    </row>
    <row r="59" spans="1:3" x14ac:dyDescent="0.25">
      <c r="A59" s="44">
        <v>5.4</v>
      </c>
      <c r="B59" s="44">
        <v>185.41414395390748</v>
      </c>
      <c r="C59" s="15"/>
    </row>
    <row r="60" spans="1:3" x14ac:dyDescent="0.25">
      <c r="A60" s="44">
        <v>5.5</v>
      </c>
      <c r="B60" s="44">
        <v>186.26014401194777</v>
      </c>
      <c r="C60" s="15"/>
    </row>
    <row r="61" spans="1:3" x14ac:dyDescent="0.25">
      <c r="A61" s="44">
        <v>5.6</v>
      </c>
      <c r="B61" s="44">
        <v>186.81549786713421</v>
      </c>
      <c r="C61" s="15"/>
    </row>
    <row r="62" spans="1:3" x14ac:dyDescent="0.25">
      <c r="A62" s="44">
        <v>5.7</v>
      </c>
      <c r="B62" s="44">
        <v>187.60941480384037</v>
      </c>
      <c r="C62" s="15"/>
    </row>
    <row r="63" spans="1:3" x14ac:dyDescent="0.25">
      <c r="A63" s="44">
        <v>5.8</v>
      </c>
      <c r="B63" s="44">
        <v>188.16137421788332</v>
      </c>
      <c r="C63" s="15"/>
    </row>
    <row r="64" spans="1:3" x14ac:dyDescent="0.25">
      <c r="A64" s="44">
        <v>5.9</v>
      </c>
      <c r="B64" s="44">
        <v>188.61591426238132</v>
      </c>
      <c r="C64" s="15"/>
    </row>
    <row r="65" spans="1:3" x14ac:dyDescent="0.25">
      <c r="A65" s="44">
        <v>6</v>
      </c>
      <c r="B65" s="44">
        <v>189.30845716299945</v>
      </c>
      <c r="C65" s="15"/>
    </row>
    <row r="66" spans="1:3" x14ac:dyDescent="0.25">
      <c r="A66" s="44">
        <v>6.1</v>
      </c>
      <c r="B66" s="44">
        <v>189.85565595760883</v>
      </c>
      <c r="C66" s="15"/>
    </row>
    <row r="67" spans="1:3" x14ac:dyDescent="0.25">
      <c r="A67" s="44">
        <v>6.2</v>
      </c>
      <c r="B67" s="44">
        <v>190.44905680331939</v>
      </c>
      <c r="C67" s="15"/>
    </row>
    <row r="68" spans="1:3" x14ac:dyDescent="0.25">
      <c r="A68" s="44">
        <v>6.3</v>
      </c>
      <c r="B68" s="44">
        <v>190.94534385697577</v>
      </c>
      <c r="C68" s="15"/>
    </row>
    <row r="69" spans="1:3" x14ac:dyDescent="0.25">
      <c r="A69" s="44">
        <v>6.4</v>
      </c>
      <c r="B69" s="44">
        <v>191.53550305028824</v>
      </c>
      <c r="C69" s="15"/>
    </row>
    <row r="70" spans="1:3" x14ac:dyDescent="0.25">
      <c r="A70" s="44">
        <v>6.5</v>
      </c>
      <c r="B70" s="44">
        <v>192.12399048781987</v>
      </c>
      <c r="C70" s="15"/>
    </row>
    <row r="71" spans="1:3" x14ac:dyDescent="0.25">
      <c r="A71" s="44">
        <v>6.6000000000000005</v>
      </c>
      <c r="B71" s="44">
        <v>192.6632379401793</v>
      </c>
      <c r="C71" s="15"/>
    </row>
    <row r="72" spans="1:3" x14ac:dyDescent="0.25">
      <c r="A72" s="44">
        <v>6.7</v>
      </c>
      <c r="B72" s="44">
        <v>193.29595009554058</v>
      </c>
      <c r="C72" s="15"/>
    </row>
    <row r="73" spans="1:3" x14ac:dyDescent="0.25">
      <c r="A73" s="44">
        <v>6.8000000000000007</v>
      </c>
      <c r="B73" s="44">
        <v>193.642090414591</v>
      </c>
      <c r="C73" s="15"/>
    </row>
    <row r="74" spans="1:3" x14ac:dyDescent="0.25">
      <c r="A74" s="44">
        <v>6.9</v>
      </c>
      <c r="B74" s="44">
        <v>193.84482195174076</v>
      </c>
      <c r="C74" s="15"/>
    </row>
    <row r="75" spans="1:3" x14ac:dyDescent="0.25">
      <c r="A75" s="44">
        <v>7.0000000000000009</v>
      </c>
      <c r="B75" s="44">
        <v>194.42561269493143</v>
      </c>
      <c r="C75" s="15"/>
    </row>
    <row r="76" spans="1:3" x14ac:dyDescent="0.25">
      <c r="A76" s="44">
        <v>7.1</v>
      </c>
      <c r="B76" s="44">
        <v>194.91010451937657</v>
      </c>
      <c r="C76" s="15"/>
    </row>
    <row r="77" spans="1:3" x14ac:dyDescent="0.25">
      <c r="A77" s="44">
        <v>7.2000000000000011</v>
      </c>
      <c r="B77" s="44">
        <v>195.34586565446747</v>
      </c>
      <c r="C77" s="15"/>
    </row>
    <row r="78" spans="1:3" x14ac:dyDescent="0.25">
      <c r="A78" s="44">
        <v>7.3</v>
      </c>
      <c r="B78" s="44">
        <v>195.92189577822458</v>
      </c>
      <c r="C78" s="15"/>
    </row>
    <row r="79" spans="1:3" x14ac:dyDescent="0.25">
      <c r="A79" s="44">
        <v>7.4000000000000012</v>
      </c>
      <c r="B79" s="44">
        <v>196.1661285970419</v>
      </c>
      <c r="C79" s="15"/>
    </row>
    <row r="80" spans="1:3" x14ac:dyDescent="0.25">
      <c r="A80" s="44">
        <v>7.5</v>
      </c>
      <c r="B80" s="44">
        <v>196.78628157946505</v>
      </c>
      <c r="C80" s="15"/>
    </row>
    <row r="81" spans="1:3" x14ac:dyDescent="0.25">
      <c r="A81" s="44">
        <v>7.6</v>
      </c>
      <c r="B81" s="44">
        <v>197.16936627907677</v>
      </c>
      <c r="C81" s="15"/>
    </row>
    <row r="82" spans="1:3" x14ac:dyDescent="0.25">
      <c r="A82" s="44">
        <v>7.7</v>
      </c>
      <c r="B82" s="44">
        <v>197.31614663960386</v>
      </c>
      <c r="C82" s="15"/>
    </row>
    <row r="83" spans="1:3" x14ac:dyDescent="0.25">
      <c r="A83" s="44">
        <v>7.8</v>
      </c>
      <c r="B83" s="44">
        <v>197.79087149769109</v>
      </c>
      <c r="C83" s="15"/>
    </row>
    <row r="84" spans="1:3" x14ac:dyDescent="0.25">
      <c r="A84" s="44">
        <v>7.9</v>
      </c>
      <c r="B84" s="44">
        <v>198.07650373901248</v>
      </c>
      <c r="C84" s="15"/>
    </row>
    <row r="85" spans="1:3" x14ac:dyDescent="0.25">
      <c r="A85" s="44">
        <v>8</v>
      </c>
      <c r="B85" s="44">
        <v>198.73591710150455</v>
      </c>
      <c r="C85" s="15"/>
    </row>
    <row r="86" spans="1:3" x14ac:dyDescent="0.25">
      <c r="A86" s="44">
        <v>8.1</v>
      </c>
      <c r="B86" s="44">
        <v>199.20623784723074</v>
      </c>
      <c r="C86" s="15"/>
    </row>
    <row r="87" spans="1:3" x14ac:dyDescent="0.25">
      <c r="A87" s="44">
        <v>8.1999999999999993</v>
      </c>
      <c r="B87" s="44">
        <v>199.53483048725522</v>
      </c>
      <c r="C87" s="15"/>
    </row>
    <row r="88" spans="1:3" x14ac:dyDescent="0.25">
      <c r="A88" s="44">
        <v>8.3000000000000007</v>
      </c>
      <c r="B88" s="44">
        <v>199.76885581431497</v>
      </c>
      <c r="C88" s="15"/>
    </row>
    <row r="89" spans="1:3" x14ac:dyDescent="0.25">
      <c r="A89" s="44">
        <v>8.4</v>
      </c>
      <c r="B89" s="44">
        <v>199.95527090281993</v>
      </c>
      <c r="C89" s="15"/>
    </row>
    <row r="90" spans="1:3" x14ac:dyDescent="0.25">
      <c r="A90" s="44">
        <v>8.5</v>
      </c>
      <c r="B90" s="44">
        <v>200.18742967618994</v>
      </c>
      <c r="C90" s="15"/>
    </row>
    <row r="91" spans="1:3" x14ac:dyDescent="0.25">
      <c r="A91" s="44">
        <v>8.6</v>
      </c>
      <c r="B91" s="44">
        <v>200.51172898343512</v>
      </c>
      <c r="C91" s="15"/>
    </row>
    <row r="92" spans="1:3" x14ac:dyDescent="0.25">
      <c r="A92" s="44">
        <v>8.6999999999999993</v>
      </c>
      <c r="B92" s="44">
        <v>201.06735937158606</v>
      </c>
      <c r="C92" s="15"/>
    </row>
    <row r="93" spans="1:3" x14ac:dyDescent="0.25">
      <c r="A93" s="44">
        <v>8.8000000000000007</v>
      </c>
      <c r="B93" s="44">
        <v>201.4355268895884</v>
      </c>
      <c r="C93" s="15"/>
    </row>
    <row r="94" spans="1:3" x14ac:dyDescent="0.25">
      <c r="A94" s="44">
        <v>8.9</v>
      </c>
      <c r="B94" s="44">
        <v>201.84882693747437</v>
      </c>
      <c r="C94" s="15"/>
    </row>
    <row r="95" spans="1:3" x14ac:dyDescent="0.25">
      <c r="A95" s="44">
        <v>9</v>
      </c>
      <c r="B95" s="44">
        <v>202.12172304878516</v>
      </c>
      <c r="C95" s="15"/>
    </row>
    <row r="96" spans="1:3" x14ac:dyDescent="0.25">
      <c r="A96" s="44">
        <v>9.1</v>
      </c>
      <c r="B96" s="44">
        <v>202.43985354914315</v>
      </c>
      <c r="C96" s="15"/>
    </row>
    <row r="97" spans="1:3" x14ac:dyDescent="0.25">
      <c r="A97" s="44">
        <v>9.1999999999999993</v>
      </c>
      <c r="B97" s="44">
        <v>202.6180894087438</v>
      </c>
      <c r="C97" s="15"/>
    </row>
    <row r="98" spans="1:3" x14ac:dyDescent="0.25">
      <c r="A98" s="44">
        <v>9.3000000000000007</v>
      </c>
      <c r="B98" s="44">
        <v>202.93404777792128</v>
      </c>
      <c r="C98" s="15"/>
    </row>
    <row r="99" spans="1:3" x14ac:dyDescent="0.25">
      <c r="A99" s="44">
        <v>9.4</v>
      </c>
      <c r="B99" s="44">
        <v>203.15655928493339</v>
      </c>
      <c r="C99" s="15"/>
    </row>
    <row r="100" spans="1:3" x14ac:dyDescent="0.25">
      <c r="A100" s="44">
        <v>9.5</v>
      </c>
      <c r="B100" s="44">
        <v>203.47029459334854</v>
      </c>
      <c r="C100" s="15"/>
    </row>
    <row r="101" spans="1:3" x14ac:dyDescent="0.25">
      <c r="A101" s="44">
        <v>9.6</v>
      </c>
      <c r="B101" s="44">
        <v>203.73682709986309</v>
      </c>
      <c r="C101" s="15"/>
    </row>
    <row r="102" spans="1:3" x14ac:dyDescent="0.25">
      <c r="A102" s="44">
        <v>9.6999999999999993</v>
      </c>
      <c r="B102" s="44">
        <v>204.00229900557835</v>
      </c>
      <c r="C102" s="15"/>
    </row>
    <row r="103" spans="1:3" x14ac:dyDescent="0.25">
      <c r="A103" s="44">
        <v>9.8000000000000007</v>
      </c>
      <c r="B103" s="44">
        <v>204.12889486217207</v>
      </c>
      <c r="C103" s="15"/>
    </row>
    <row r="104" spans="1:3" x14ac:dyDescent="0.25">
      <c r="A104" s="44">
        <v>9.9</v>
      </c>
      <c r="B104" s="44">
        <v>204.43828590822613</v>
      </c>
      <c r="C104" s="15"/>
    </row>
    <row r="105" spans="1:3" x14ac:dyDescent="0.25">
      <c r="A105" s="44">
        <v>10</v>
      </c>
      <c r="B105" s="44">
        <v>204.7465144943173</v>
      </c>
      <c r="C105" s="15"/>
    </row>
    <row r="106" spans="1:3" x14ac:dyDescent="0.25">
      <c r="A106" s="44">
        <v>10.1</v>
      </c>
      <c r="B106" s="44">
        <v>204.91622353835945</v>
      </c>
      <c r="C106" s="15"/>
    </row>
    <row r="107" spans="1:3" x14ac:dyDescent="0.25">
      <c r="A107" s="44">
        <v>10.199999999999999</v>
      </c>
      <c r="B107" s="44">
        <v>205.08507569992943</v>
      </c>
      <c r="C107" s="15"/>
    </row>
    <row r="108" spans="1:3" x14ac:dyDescent="0.25">
      <c r="A108" s="44">
        <v>10.3</v>
      </c>
      <c r="B108" s="44">
        <v>205.29875481389226</v>
      </c>
      <c r="C108" s="15"/>
    </row>
    <row r="109" spans="1:3" x14ac:dyDescent="0.25">
      <c r="A109" s="44">
        <v>10.4</v>
      </c>
      <c r="B109" s="44">
        <v>205.5114751862194</v>
      </c>
      <c r="C109" s="15"/>
    </row>
    <row r="110" spans="1:3" x14ac:dyDescent="0.25">
      <c r="A110" s="44">
        <v>10.5</v>
      </c>
      <c r="B110" s="44">
        <v>205.76881879261219</v>
      </c>
      <c r="C110" s="15"/>
    </row>
    <row r="111" spans="1:3" x14ac:dyDescent="0.25">
      <c r="A111" s="44">
        <v>10.6</v>
      </c>
      <c r="B111" s="44">
        <v>205.93403970596617</v>
      </c>
      <c r="C111" s="15"/>
    </row>
    <row r="112" spans="1:3" x14ac:dyDescent="0.25">
      <c r="A112" s="44">
        <v>10.7</v>
      </c>
      <c r="B112" s="44">
        <v>206.23484408646175</v>
      </c>
      <c r="C112" s="15"/>
    </row>
    <row r="113" spans="1:3" x14ac:dyDescent="0.25">
      <c r="A113" s="44">
        <v>10.8</v>
      </c>
      <c r="B113" s="44">
        <v>206.44362763308209</v>
      </c>
      <c r="C113" s="15"/>
    </row>
    <row r="114" spans="1:3" x14ac:dyDescent="0.25">
      <c r="A114" s="44">
        <v>10.9</v>
      </c>
      <c r="B114" s="44">
        <v>206.83296546756409</v>
      </c>
      <c r="C114" s="15"/>
    </row>
    <row r="115" spans="1:3" x14ac:dyDescent="0.25">
      <c r="A115" s="44">
        <v>11</v>
      </c>
      <c r="B115" s="44">
        <v>206.85831850141537</v>
      </c>
      <c r="C115" s="15"/>
    </row>
    <row r="116" spans="1:3" x14ac:dyDescent="0.25">
      <c r="A116" s="44">
        <v>11.1</v>
      </c>
      <c r="B116" s="44">
        <v>206.97367302670682</v>
      </c>
      <c r="C116" s="15"/>
    </row>
    <row r="117" spans="1:3" x14ac:dyDescent="0.25">
      <c r="A117" s="44">
        <v>11.2</v>
      </c>
      <c r="B117" s="44">
        <v>207.22394893457658</v>
      </c>
      <c r="C117" s="15"/>
    </row>
    <row r="118" spans="1:3" x14ac:dyDescent="0.25">
      <c r="A118" s="44">
        <v>11.3</v>
      </c>
      <c r="B118" s="44">
        <v>207.24729154641093</v>
      </c>
      <c r="C118" s="15"/>
    </row>
    <row r="119" spans="1:3" x14ac:dyDescent="0.25">
      <c r="A119" s="44">
        <v>11.4</v>
      </c>
      <c r="B119" s="44">
        <v>207.45057729112546</v>
      </c>
      <c r="C119" s="15"/>
    </row>
    <row r="120" spans="1:3" x14ac:dyDescent="0.25">
      <c r="A120" s="44">
        <v>11.5</v>
      </c>
      <c r="B120" s="44">
        <v>207.69797697408791</v>
      </c>
      <c r="C120" s="15"/>
    </row>
    <row r="121" spans="1:3" x14ac:dyDescent="0.25">
      <c r="A121" s="44">
        <v>11.6</v>
      </c>
      <c r="B121" s="44">
        <v>207.62916380413807</v>
      </c>
      <c r="C121" s="15"/>
    </row>
    <row r="122" spans="1:3" x14ac:dyDescent="0.25">
      <c r="A122" s="44">
        <v>11.7</v>
      </c>
      <c r="B122" s="44">
        <v>207.91976961329425</v>
      </c>
      <c r="C122" s="15"/>
    </row>
    <row r="123" spans="1:3" x14ac:dyDescent="0.25">
      <c r="A123" s="44">
        <v>11.8</v>
      </c>
      <c r="B123" s="44">
        <v>208.07445328907281</v>
      </c>
      <c r="C123" s="15"/>
    </row>
    <row r="124" spans="1:3" x14ac:dyDescent="0.25">
      <c r="A124" s="44">
        <v>11.9</v>
      </c>
      <c r="B124" s="44">
        <v>208.09367319770971</v>
      </c>
      <c r="C124" s="15"/>
    </row>
    <row r="125" spans="1:3" x14ac:dyDescent="0.25">
      <c r="A125" s="44">
        <v>12</v>
      </c>
      <c r="B125" s="44">
        <v>208.20197786531449</v>
      </c>
      <c r="C125" s="15"/>
    </row>
    <row r="126" spans="1:3" x14ac:dyDescent="0.25">
      <c r="A126" s="44">
        <v>12.1</v>
      </c>
      <c r="B126" s="44">
        <v>208.39906171439642</v>
      </c>
      <c r="C126" s="15"/>
    </row>
    <row r="127" spans="1:3" x14ac:dyDescent="0.25">
      <c r="A127" s="44">
        <v>12.2</v>
      </c>
      <c r="B127" s="44">
        <v>208.5504706490315</v>
      </c>
      <c r="C127" s="15"/>
    </row>
    <row r="128" spans="1:3" x14ac:dyDescent="0.25">
      <c r="A128" s="44">
        <v>12.3</v>
      </c>
      <c r="B128" s="44">
        <v>208.79035318765295</v>
      </c>
      <c r="C128" s="15"/>
    </row>
    <row r="129" spans="1:3" x14ac:dyDescent="0.25">
      <c r="A129" s="44">
        <v>12.4</v>
      </c>
      <c r="B129" s="44">
        <v>208.80610355723746</v>
      </c>
      <c r="C129" s="15"/>
    </row>
    <row r="130" spans="1:3" x14ac:dyDescent="0.25">
      <c r="A130" s="44">
        <v>12.5</v>
      </c>
      <c r="B130" s="44">
        <v>208.77673923777473</v>
      </c>
      <c r="C130" s="15"/>
    </row>
    <row r="131" spans="1:3" x14ac:dyDescent="0.25">
      <c r="A131" s="44">
        <v>12.6</v>
      </c>
      <c r="B131" s="44">
        <v>208.88046283594599</v>
      </c>
      <c r="C131" s="15"/>
    </row>
    <row r="132" spans="1:3" x14ac:dyDescent="0.25">
      <c r="A132" s="44">
        <v>12.7</v>
      </c>
      <c r="B132" s="44">
        <v>208.9389698859064</v>
      </c>
      <c r="C132" s="15"/>
    </row>
    <row r="133" spans="1:3" x14ac:dyDescent="0.25">
      <c r="A133" s="44">
        <v>12.8</v>
      </c>
      <c r="B133" s="44">
        <v>209.08564496236244</v>
      </c>
      <c r="C133" s="15"/>
    </row>
    <row r="134" spans="1:3" x14ac:dyDescent="0.25">
      <c r="A134" s="44">
        <v>12.9</v>
      </c>
      <c r="B134" s="44">
        <v>209.1871034906078</v>
      </c>
      <c r="C134" s="15"/>
    </row>
    <row r="135" spans="1:3" x14ac:dyDescent="0.25">
      <c r="A135" s="44">
        <v>13</v>
      </c>
      <c r="B135" s="44">
        <v>209.28780699554451</v>
      </c>
      <c r="C135" s="15"/>
    </row>
    <row r="136" spans="1:3" x14ac:dyDescent="0.25">
      <c r="A136" s="44">
        <v>13.100000000000001</v>
      </c>
      <c r="B136" s="44">
        <v>209.43201328374758</v>
      </c>
      <c r="C136" s="15"/>
    </row>
    <row r="137" spans="1:3" x14ac:dyDescent="0.25">
      <c r="A137" s="44">
        <v>13.200000000000001</v>
      </c>
      <c r="B137" s="44">
        <v>209.48694893549199</v>
      </c>
      <c r="C137" s="15"/>
    </row>
    <row r="138" spans="1:3" x14ac:dyDescent="0.25">
      <c r="A138" s="44">
        <v>13.3</v>
      </c>
      <c r="B138" s="44">
        <v>209.49707547567996</v>
      </c>
      <c r="C138" s="15"/>
    </row>
    <row r="139" spans="1:3" x14ac:dyDescent="0.25">
      <c r="A139" s="44">
        <v>13.4</v>
      </c>
      <c r="B139" s="44">
        <v>209.50665071088648</v>
      </c>
      <c r="C139" s="15"/>
    </row>
    <row r="140" spans="1:3" x14ac:dyDescent="0.25">
      <c r="A140" s="44">
        <v>13.5</v>
      </c>
      <c r="B140" s="44">
        <v>209.647836905855</v>
      </c>
      <c r="C140" s="15"/>
    </row>
    <row r="141" spans="1:3" x14ac:dyDescent="0.25">
      <c r="A141" s="44">
        <v>13.600000000000001</v>
      </c>
      <c r="B141" s="44">
        <v>209.74416305968526</v>
      </c>
      <c r="C141" s="15"/>
    </row>
    <row r="142" spans="1:3" x14ac:dyDescent="0.25">
      <c r="A142" s="44">
        <v>13.699999999999998</v>
      </c>
      <c r="B142" s="44">
        <v>209.75182973203843</v>
      </c>
      <c r="C142" s="15"/>
    </row>
    <row r="143" spans="1:3" x14ac:dyDescent="0.25">
      <c r="A143" s="44">
        <v>13.8</v>
      </c>
      <c r="B143" s="44">
        <v>209.58333990140022</v>
      </c>
      <c r="C143" s="15"/>
    </row>
    <row r="144" spans="1:3" x14ac:dyDescent="0.25">
      <c r="A144" s="44">
        <v>13.900000000000002</v>
      </c>
      <c r="B144" s="44">
        <v>209.63395805203822</v>
      </c>
      <c r="C144" s="15"/>
    </row>
    <row r="145" spans="1:3" x14ac:dyDescent="0.25">
      <c r="A145" s="44">
        <v>14.000000000000002</v>
      </c>
      <c r="B145" s="44">
        <v>209.68392303853119</v>
      </c>
      <c r="C145" s="15"/>
    </row>
    <row r="146" spans="1:3" x14ac:dyDescent="0.25">
      <c r="A146" s="44">
        <v>14.099999999999998</v>
      </c>
      <c r="B146" s="44">
        <v>209.68948635012202</v>
      </c>
      <c r="C146" s="15"/>
    </row>
    <row r="147" spans="1:3" x14ac:dyDescent="0.25">
      <c r="A147" s="44">
        <v>14.2</v>
      </c>
      <c r="B147" s="44">
        <v>209.82559110025733</v>
      </c>
      <c r="C147" s="15"/>
    </row>
    <row r="148" spans="1:3" x14ac:dyDescent="0.25">
      <c r="A148" s="44">
        <v>14.3</v>
      </c>
      <c r="B148" s="44">
        <v>209.74260570995273</v>
      </c>
      <c r="C148" s="15"/>
    </row>
    <row r="149" spans="1:3" x14ac:dyDescent="0.25">
      <c r="A149" s="44">
        <v>14.400000000000002</v>
      </c>
      <c r="B149" s="44">
        <v>209.92084706506429</v>
      </c>
      <c r="C149" s="15"/>
    </row>
    <row r="150" spans="1:3" x14ac:dyDescent="0.25">
      <c r="A150" s="44">
        <v>14.499999999999998</v>
      </c>
      <c r="B150" s="44">
        <v>209.96749530125024</v>
      </c>
      <c r="C150" s="15"/>
    </row>
    <row r="151" spans="1:3" x14ac:dyDescent="0.25">
      <c r="A151" s="44">
        <v>14.6</v>
      </c>
      <c r="B151" s="44">
        <v>209.75252719620218</v>
      </c>
      <c r="C151" s="15"/>
    </row>
    <row r="152" spans="1:3" x14ac:dyDescent="0.25">
      <c r="A152" s="44">
        <v>14.7</v>
      </c>
      <c r="B152" s="44">
        <v>209.71128881505598</v>
      </c>
      <c r="C152" s="15"/>
    </row>
    <row r="153" spans="1:3" x14ac:dyDescent="0.25">
      <c r="A153" s="44">
        <v>14.800000000000002</v>
      </c>
      <c r="B153" s="44">
        <v>209.62620898440736</v>
      </c>
      <c r="C153" s="15"/>
    </row>
    <row r="154" spans="1:3" x14ac:dyDescent="0.25">
      <c r="A154" s="44">
        <v>14.899999999999999</v>
      </c>
      <c r="B154" s="44">
        <v>209.49744049300162</v>
      </c>
      <c r="C154" s="15"/>
    </row>
    <row r="155" spans="1:3" x14ac:dyDescent="0.25">
      <c r="A155" s="44">
        <v>15</v>
      </c>
      <c r="B155" s="44">
        <v>209.58487699671016</v>
      </c>
      <c r="C155" s="15"/>
    </row>
    <row r="156" spans="1:3" x14ac:dyDescent="0.25">
      <c r="A156" s="44">
        <v>15.1</v>
      </c>
      <c r="B156" s="44">
        <v>209.62831926217081</v>
      </c>
      <c r="C156" s="15"/>
    </row>
    <row r="157" spans="1:3" x14ac:dyDescent="0.25">
      <c r="A157" s="44">
        <v>15.2</v>
      </c>
      <c r="B157" s="44">
        <v>209.54154350741416</v>
      </c>
      <c r="C157" s="15"/>
    </row>
    <row r="158" spans="1:3" x14ac:dyDescent="0.25">
      <c r="A158" s="44">
        <v>15.299999999999999</v>
      </c>
      <c r="B158" s="44">
        <v>209.71324430065701</v>
      </c>
      <c r="C158" s="15"/>
    </row>
    <row r="159" spans="1:3" x14ac:dyDescent="0.25">
      <c r="A159" s="44">
        <v>15.4</v>
      </c>
      <c r="B159" s="44">
        <v>209.49620851651949</v>
      </c>
      <c r="C159" s="15"/>
    </row>
    <row r="160" spans="1:3" x14ac:dyDescent="0.25">
      <c r="A160" s="44">
        <v>15.5</v>
      </c>
      <c r="B160" s="44">
        <v>209.45127270966654</v>
      </c>
      <c r="C160" s="15"/>
    </row>
    <row r="161" spans="1:3" x14ac:dyDescent="0.25">
      <c r="A161" s="44">
        <v>15.6</v>
      </c>
      <c r="B161" s="44">
        <v>209.36290288996551</v>
      </c>
      <c r="C161" s="15"/>
    </row>
    <row r="162" spans="1:3" x14ac:dyDescent="0.25">
      <c r="A162" s="44">
        <v>15.7</v>
      </c>
      <c r="B162" s="44">
        <v>209.10245093381627</v>
      </c>
      <c r="C162" s="15"/>
    </row>
    <row r="163" spans="1:3" x14ac:dyDescent="0.25">
      <c r="A163" s="44">
        <v>15.8</v>
      </c>
      <c r="B163" s="44">
        <v>209.22800319846715</v>
      </c>
      <c r="C163" s="15"/>
    </row>
    <row r="164" spans="1:3" x14ac:dyDescent="0.25">
      <c r="A164" s="44">
        <v>15.9</v>
      </c>
      <c r="B164" s="44">
        <v>209.18137146750621</v>
      </c>
      <c r="C164" s="15"/>
    </row>
    <row r="165" spans="1:3" x14ac:dyDescent="0.25">
      <c r="A165" s="44">
        <v>16</v>
      </c>
      <c r="B165" s="44">
        <v>209.26263283683673</v>
      </c>
      <c r="C165" s="15"/>
    </row>
    <row r="166" spans="1:3" x14ac:dyDescent="0.25">
      <c r="A166" s="44">
        <v>16.100000000000001</v>
      </c>
      <c r="B166" s="44">
        <v>209.1294895872521</v>
      </c>
      <c r="C166" s="15"/>
    </row>
    <row r="167" spans="1:3" x14ac:dyDescent="0.25">
      <c r="A167" s="44">
        <v>16.2</v>
      </c>
      <c r="B167" s="44">
        <v>209.03877959971621</v>
      </c>
      <c r="C167" s="15"/>
    </row>
    <row r="168" spans="1:3" x14ac:dyDescent="0.25">
      <c r="A168" s="44">
        <v>16.3</v>
      </c>
      <c r="B168" s="44">
        <v>208.9903500854837</v>
      </c>
      <c r="C168" s="15"/>
    </row>
    <row r="169" spans="1:3" x14ac:dyDescent="0.25">
      <c r="A169" s="44">
        <v>16.399999999999999</v>
      </c>
      <c r="B169" s="44">
        <v>208.85631686468147</v>
      </c>
      <c r="C169" s="15"/>
    </row>
    <row r="170" spans="1:3" x14ac:dyDescent="0.25">
      <c r="A170" s="44">
        <v>16.5</v>
      </c>
      <c r="B170" s="44">
        <v>208.84961651877092</v>
      </c>
      <c r="C170" s="15"/>
    </row>
    <row r="171" spans="1:3" x14ac:dyDescent="0.25">
      <c r="A171" s="44">
        <v>16.600000000000001</v>
      </c>
      <c r="B171" s="44">
        <v>208.67246378302946</v>
      </c>
      <c r="C171" s="15"/>
    </row>
    <row r="172" spans="1:3" x14ac:dyDescent="0.25">
      <c r="A172" s="44">
        <v>16.7</v>
      </c>
      <c r="B172" s="44">
        <v>208.70728888711375</v>
      </c>
      <c r="C172" s="15"/>
    </row>
    <row r="173" spans="1:3" x14ac:dyDescent="0.25">
      <c r="A173" s="44">
        <v>16.8</v>
      </c>
      <c r="B173" s="44">
        <v>208.78383423910171</v>
      </c>
      <c r="C173" s="15"/>
    </row>
    <row r="174" spans="1:3" x14ac:dyDescent="0.25">
      <c r="A174" s="44">
        <v>16.899999999999999</v>
      </c>
      <c r="B174" s="44">
        <v>208.60568967297908</v>
      </c>
      <c r="C174" s="15"/>
    </row>
    <row r="175" spans="1:3" x14ac:dyDescent="0.25">
      <c r="A175" s="44">
        <v>17</v>
      </c>
      <c r="B175" s="44">
        <v>208.59648745007016</v>
      </c>
      <c r="C175" s="15"/>
    </row>
    <row r="176" spans="1:3" x14ac:dyDescent="0.25">
      <c r="A176" s="44">
        <v>17.100000000000001</v>
      </c>
      <c r="B176" s="44">
        <v>208.46007205226942</v>
      </c>
      <c r="C176" s="15"/>
    </row>
    <row r="177" spans="1:3" x14ac:dyDescent="0.25">
      <c r="A177" s="44">
        <v>17.2</v>
      </c>
      <c r="B177" s="44">
        <v>208.49208970186461</v>
      </c>
      <c r="C177" s="15"/>
    </row>
    <row r="178" spans="1:3" x14ac:dyDescent="0.25">
      <c r="A178" s="44">
        <v>17.3</v>
      </c>
      <c r="B178" s="44">
        <v>208.35497913075523</v>
      </c>
      <c r="C178" s="15"/>
    </row>
    <row r="179" spans="1:3" x14ac:dyDescent="0.25">
      <c r="A179" s="44">
        <v>17.399999999999999</v>
      </c>
      <c r="B179" s="44">
        <v>208.17555499759717</v>
      </c>
      <c r="C179" s="15"/>
    </row>
    <row r="180" spans="1:3" x14ac:dyDescent="0.25">
      <c r="A180" s="44">
        <v>17.5</v>
      </c>
      <c r="B180" s="44">
        <v>208.12203771104075</v>
      </c>
      <c r="C180" s="15"/>
    </row>
    <row r="181" spans="1:3" x14ac:dyDescent="0.25">
      <c r="A181" s="44">
        <v>17.600000000000001</v>
      </c>
      <c r="B181" s="44">
        <v>207.98413902787738</v>
      </c>
      <c r="C181" s="15"/>
    </row>
    <row r="182" spans="1:3" x14ac:dyDescent="0.25">
      <c r="A182" s="44">
        <v>17.7</v>
      </c>
      <c r="B182" s="44">
        <v>208.05556984628674</v>
      </c>
      <c r="C182" s="15"/>
    </row>
    <row r="183" spans="1:3" x14ac:dyDescent="0.25">
      <c r="A183" s="44">
        <v>17.8</v>
      </c>
      <c r="B183" s="44">
        <v>207.91692506023304</v>
      </c>
      <c r="C183" s="15"/>
    </row>
    <row r="184" spans="1:3" x14ac:dyDescent="0.25">
      <c r="A184" s="44">
        <v>17.899999999999999</v>
      </c>
      <c r="B184" s="44">
        <v>207.81984773333767</v>
      </c>
      <c r="C184" s="15"/>
    </row>
    <row r="185" spans="1:3" x14ac:dyDescent="0.25">
      <c r="A185" s="44">
        <v>18</v>
      </c>
      <c r="B185" s="44">
        <v>207.88947184805727</v>
      </c>
      <c r="C185" s="15"/>
    </row>
    <row r="186" spans="1:3" x14ac:dyDescent="0.25">
      <c r="A186" s="44">
        <v>18.100000000000001</v>
      </c>
      <c r="B186" s="44">
        <v>207.74978430204061</v>
      </c>
      <c r="C186" s="15"/>
    </row>
    <row r="187" spans="1:3" x14ac:dyDescent="0.25">
      <c r="A187" s="44">
        <v>18.2</v>
      </c>
      <c r="B187" s="44">
        <v>207.52653023272575</v>
      </c>
      <c r="C187" s="15"/>
    </row>
    <row r="188" spans="1:3" x14ac:dyDescent="0.25">
      <c r="A188" s="44">
        <v>18.3</v>
      </c>
      <c r="B188" s="44">
        <v>207.67771936914477</v>
      </c>
      <c r="C188" s="15"/>
    </row>
    <row r="189" spans="1:3" x14ac:dyDescent="0.25">
      <c r="A189" s="44">
        <v>18.399999999999999</v>
      </c>
      <c r="B189" s="44">
        <v>207.53703999274694</v>
      </c>
      <c r="C189" s="15"/>
    </row>
    <row r="190" spans="1:3" x14ac:dyDescent="0.25">
      <c r="A190" s="44">
        <v>18.5</v>
      </c>
      <c r="B190" s="44">
        <v>207.43762249801679</v>
      </c>
      <c r="C190" s="15"/>
    </row>
    <row r="191" spans="1:3" x14ac:dyDescent="0.25">
      <c r="A191" s="44">
        <v>18.600000000000001</v>
      </c>
      <c r="B191" s="44">
        <v>207.37931409620882</v>
      </c>
      <c r="C191" s="15"/>
    </row>
    <row r="192" spans="1:3" x14ac:dyDescent="0.25">
      <c r="A192" s="44">
        <v>18.7</v>
      </c>
      <c r="B192" s="44">
        <v>207.19633899859863</v>
      </c>
      <c r="C192" s="15"/>
    </row>
    <row r="193" spans="1:3" x14ac:dyDescent="0.25">
      <c r="A193" s="44">
        <v>18.8</v>
      </c>
      <c r="B193" s="44">
        <v>207.26134895513931</v>
      </c>
      <c r="C193" s="15"/>
    </row>
    <row r="194" spans="1:3" x14ac:dyDescent="0.25">
      <c r="A194" s="44">
        <v>18.899999999999999</v>
      </c>
      <c r="B194" s="44">
        <v>207.28429999754007</v>
      </c>
      <c r="C194" s="15"/>
    </row>
    <row r="195" spans="1:3" x14ac:dyDescent="0.25">
      <c r="A195" s="44">
        <v>19</v>
      </c>
      <c r="B195" s="44">
        <v>207.18283899204755</v>
      </c>
      <c r="C195" s="15"/>
    </row>
    <row r="196" spans="1:3" x14ac:dyDescent="0.25">
      <c r="A196" s="44">
        <v>19.100000000000001</v>
      </c>
      <c r="B196" s="44">
        <v>207.08103039990075</v>
      </c>
      <c r="C196" s="15"/>
    </row>
    <row r="197" spans="1:3" x14ac:dyDescent="0.25">
      <c r="A197" s="44">
        <v>19.2</v>
      </c>
      <c r="B197" s="44">
        <v>207.02002532318545</v>
      </c>
      <c r="C197" s="15"/>
    </row>
    <row r="198" spans="1:3" x14ac:dyDescent="0.25">
      <c r="A198" s="44">
        <v>19.3</v>
      </c>
      <c r="B198" s="44">
        <v>206.753069938132</v>
      </c>
      <c r="C198" s="15"/>
    </row>
    <row r="199" spans="1:3" x14ac:dyDescent="0.25">
      <c r="A199" s="44">
        <v>19.399999999999999</v>
      </c>
      <c r="B199" s="44">
        <v>206.65037137476762</v>
      </c>
      <c r="C199" s="15"/>
    </row>
    <row r="200" spans="1:3" x14ac:dyDescent="0.25">
      <c r="A200" s="44">
        <v>19.5</v>
      </c>
      <c r="B200" s="44">
        <v>206.62932185142981</v>
      </c>
      <c r="C200" s="15"/>
    </row>
    <row r="201" spans="1:3" x14ac:dyDescent="0.25">
      <c r="A201" s="44">
        <v>19.600000000000001</v>
      </c>
      <c r="B201" s="44">
        <v>206.64866840686929</v>
      </c>
      <c r="C201" s="15"/>
    </row>
    <row r="202" spans="1:3" x14ac:dyDescent="0.25">
      <c r="A202" s="44">
        <v>19.7</v>
      </c>
      <c r="B202" s="44">
        <v>206.58556888980985</v>
      </c>
      <c r="C202" s="15"/>
    </row>
    <row r="203" spans="1:3" x14ac:dyDescent="0.25">
      <c r="A203" s="44">
        <v>19.8</v>
      </c>
      <c r="B203" s="44">
        <v>206.44032887774236</v>
      </c>
      <c r="C203" s="15"/>
    </row>
    <row r="204" spans="1:3" x14ac:dyDescent="0.25">
      <c r="A204" s="44">
        <v>19.899999999999999</v>
      </c>
      <c r="B204" s="44">
        <v>206.37643232821074</v>
      </c>
      <c r="C204" s="15"/>
    </row>
    <row r="205" spans="1:3" x14ac:dyDescent="0.25">
      <c r="A205" s="44">
        <v>20</v>
      </c>
      <c r="B205" s="44">
        <v>206.27134266742979</v>
      </c>
      <c r="C205" s="15"/>
    </row>
    <row r="206" spans="1:3" x14ac:dyDescent="0.25">
      <c r="A206" s="44">
        <v>20.100000000000001</v>
      </c>
      <c r="B206" s="44">
        <v>206.20659815584415</v>
      </c>
      <c r="C206" s="15"/>
    </row>
    <row r="207" spans="1:3" x14ac:dyDescent="0.25">
      <c r="A207" s="44">
        <v>20.2</v>
      </c>
      <c r="B207" s="44">
        <v>206.14140419844065</v>
      </c>
      <c r="C207" s="15"/>
    </row>
    <row r="208" spans="1:3" x14ac:dyDescent="0.25">
      <c r="A208" s="44">
        <v>20.3</v>
      </c>
      <c r="B208" s="44">
        <v>205.95398816516075</v>
      </c>
      <c r="C208" s="15"/>
    </row>
    <row r="209" spans="1:3" x14ac:dyDescent="0.25">
      <c r="A209" s="44">
        <v>20.399999999999999</v>
      </c>
      <c r="B209" s="44">
        <v>205.84750815776246</v>
      </c>
      <c r="C209" s="15"/>
    </row>
    <row r="210" spans="1:3" x14ac:dyDescent="0.25">
      <c r="A210" s="44">
        <v>20.5</v>
      </c>
      <c r="B210" s="44">
        <v>205.7406805637099</v>
      </c>
      <c r="C210" s="15"/>
    </row>
    <row r="211" spans="1:3" x14ac:dyDescent="0.25">
      <c r="A211" s="44">
        <v>20.6</v>
      </c>
      <c r="B211" s="44">
        <v>205.8356958227069</v>
      </c>
      <c r="C211" s="15"/>
    </row>
    <row r="212" spans="1:3" x14ac:dyDescent="0.25">
      <c r="A212" s="44">
        <v>20.7</v>
      </c>
      <c r="B212" s="44">
        <v>205.52598261564174</v>
      </c>
      <c r="C212" s="15"/>
    </row>
    <row r="213" spans="1:3" x14ac:dyDescent="0.25">
      <c r="A213" s="44">
        <v>20.8</v>
      </c>
      <c r="B213" s="44">
        <v>205.49878471918061</v>
      </c>
      <c r="C213" s="15"/>
    </row>
    <row r="214" spans="1:3" x14ac:dyDescent="0.25">
      <c r="A214" s="44">
        <v>20.9</v>
      </c>
      <c r="B214" s="44">
        <v>205.43075021854258</v>
      </c>
      <c r="C214" s="15"/>
    </row>
    <row r="215" spans="1:3" x14ac:dyDescent="0.25">
      <c r="A215" s="44">
        <v>21</v>
      </c>
      <c r="B215" s="44">
        <v>205.40250064170027</v>
      </c>
      <c r="C215" s="15"/>
    </row>
    <row r="216" spans="1:3" x14ac:dyDescent="0.25">
      <c r="A216" s="44">
        <v>21.1</v>
      </c>
      <c r="B216" s="44">
        <v>205.25314943978097</v>
      </c>
      <c r="C216" s="15"/>
    </row>
    <row r="217" spans="1:3" x14ac:dyDescent="0.25">
      <c r="A217" s="44"/>
      <c r="B217" s="44"/>
      <c r="C217" s="15"/>
    </row>
    <row r="218" spans="1:3" x14ac:dyDescent="0.25">
      <c r="A218" s="44"/>
      <c r="B218" s="44"/>
      <c r="C218" s="15"/>
    </row>
    <row r="219" spans="1:3" x14ac:dyDescent="0.25">
      <c r="A219" s="44"/>
      <c r="B219" s="44"/>
      <c r="C219" s="15"/>
    </row>
    <row r="220" spans="1:3" x14ac:dyDescent="0.25">
      <c r="A220" s="44"/>
      <c r="B220" s="44"/>
      <c r="C220" s="15"/>
    </row>
    <row r="221" spans="1:3" x14ac:dyDescent="0.25">
      <c r="A221" s="44"/>
      <c r="B221" s="44"/>
      <c r="C221" s="15"/>
    </row>
    <row r="222" spans="1:3" x14ac:dyDescent="0.25">
      <c r="A222" s="44"/>
      <c r="B222" s="44"/>
      <c r="C222" s="15"/>
    </row>
    <row r="223" spans="1:3" x14ac:dyDescent="0.25">
      <c r="A223" s="44"/>
      <c r="B223" s="44"/>
      <c r="C223" s="15"/>
    </row>
    <row r="224" spans="1:3" x14ac:dyDescent="0.25">
      <c r="A224" s="44"/>
      <c r="B224" s="44"/>
      <c r="C224" s="15"/>
    </row>
    <row r="225" spans="1:3" x14ac:dyDescent="0.25">
      <c r="A225" s="44"/>
      <c r="B225" s="44"/>
      <c r="C225" s="15"/>
    </row>
    <row r="226" spans="1:3" x14ac:dyDescent="0.25">
      <c r="A226" s="44"/>
      <c r="B226" s="44"/>
      <c r="C226" s="15"/>
    </row>
    <row r="227" spans="1:3" x14ac:dyDescent="0.25">
      <c r="A227" s="44"/>
      <c r="B227" s="44"/>
      <c r="C227" s="15"/>
    </row>
    <row r="228" spans="1:3" x14ac:dyDescent="0.25">
      <c r="A228" s="44"/>
      <c r="B228" s="44"/>
      <c r="C228" s="15"/>
    </row>
    <row r="229" spans="1:3" x14ac:dyDescent="0.25">
      <c r="A229" s="44"/>
      <c r="B229" s="44"/>
      <c r="C229" s="15"/>
    </row>
    <row r="230" spans="1:3" x14ac:dyDescent="0.25">
      <c r="A230" s="44"/>
      <c r="B230" s="44"/>
      <c r="C230" s="15"/>
    </row>
    <row r="231" spans="1:3" x14ac:dyDescent="0.25">
      <c r="A231" s="44"/>
      <c r="B231" s="44"/>
      <c r="C231" s="15"/>
    </row>
    <row r="232" spans="1:3" x14ac:dyDescent="0.25">
      <c r="A232" s="44"/>
      <c r="B232" s="44"/>
      <c r="C232" s="15"/>
    </row>
    <row r="233" spans="1:3" x14ac:dyDescent="0.25">
      <c r="A233" s="44"/>
      <c r="B233" s="44"/>
      <c r="C233" s="15"/>
    </row>
    <row r="234" spans="1:3" x14ac:dyDescent="0.25">
      <c r="A234" s="44"/>
      <c r="B234" s="44"/>
      <c r="C234" s="15"/>
    </row>
    <row r="235" spans="1:3" x14ac:dyDescent="0.25">
      <c r="A235" s="44"/>
      <c r="B235" s="44"/>
      <c r="C235" s="15"/>
    </row>
    <row r="236" spans="1:3" x14ac:dyDescent="0.25">
      <c r="A236" s="44"/>
      <c r="B236" s="44"/>
      <c r="C236" s="15"/>
    </row>
    <row r="237" spans="1:3" x14ac:dyDescent="0.25">
      <c r="A237" s="44"/>
      <c r="B237" s="44"/>
      <c r="C237" s="15"/>
    </row>
    <row r="238" spans="1:3" x14ac:dyDescent="0.25">
      <c r="A238" s="44"/>
      <c r="B238" s="44"/>
      <c r="C238" s="15"/>
    </row>
    <row r="239" spans="1:3" x14ac:dyDescent="0.2">
      <c r="A239" s="46"/>
      <c r="B239" s="47"/>
      <c r="C239" s="15"/>
    </row>
    <row r="240" spans="1:3" x14ac:dyDescent="0.2">
      <c r="A240" s="46"/>
      <c r="B240" s="47"/>
      <c r="C240" s="15"/>
    </row>
    <row r="241" spans="1:3" x14ac:dyDescent="0.2">
      <c r="A241" s="46"/>
      <c r="B241" s="47"/>
      <c r="C241" s="15"/>
    </row>
    <row r="242" spans="1:3" x14ac:dyDescent="0.2">
      <c r="A242" s="46"/>
      <c r="B242" s="47"/>
      <c r="C242" s="15"/>
    </row>
    <row r="243" spans="1:3" x14ac:dyDescent="0.2">
      <c r="A243" s="46"/>
      <c r="B243" s="47"/>
      <c r="C243" s="15"/>
    </row>
    <row r="244" spans="1:3" x14ac:dyDescent="0.2">
      <c r="A244" s="46"/>
      <c r="B244" s="47"/>
      <c r="C244" s="15"/>
    </row>
    <row r="245" spans="1:3" x14ac:dyDescent="0.2">
      <c r="A245" s="46"/>
      <c r="B245" s="47"/>
      <c r="C245" s="15"/>
    </row>
    <row r="246" spans="1:3" x14ac:dyDescent="0.2">
      <c r="A246" s="46"/>
      <c r="B246" s="47"/>
      <c r="C246" s="15"/>
    </row>
    <row r="247" spans="1:3" x14ac:dyDescent="0.2">
      <c r="A247" s="46"/>
      <c r="B247" s="47"/>
      <c r="C247" s="15"/>
    </row>
    <row r="248" spans="1:3" x14ac:dyDescent="0.2">
      <c r="A248" s="46"/>
      <c r="B248" s="47"/>
      <c r="C248" s="15"/>
    </row>
    <row r="249" spans="1:3" x14ac:dyDescent="0.2">
      <c r="A249" s="46"/>
      <c r="B249" s="47"/>
      <c r="C249" s="15"/>
    </row>
    <row r="250" spans="1:3" x14ac:dyDescent="0.2">
      <c r="A250" s="46"/>
      <c r="B250" s="47"/>
      <c r="C250" s="15"/>
    </row>
    <row r="251" spans="1:3" x14ac:dyDescent="0.2">
      <c r="A251" s="46"/>
      <c r="B251" s="47"/>
      <c r="C251" s="15"/>
    </row>
    <row r="252" spans="1:3" x14ac:dyDescent="0.2">
      <c r="A252" s="46"/>
      <c r="B252" s="47"/>
      <c r="C252" s="15"/>
    </row>
    <row r="253" spans="1:3" x14ac:dyDescent="0.2">
      <c r="A253" s="46"/>
      <c r="B253" s="47"/>
      <c r="C253" s="15"/>
    </row>
    <row r="254" spans="1:3" x14ac:dyDescent="0.2">
      <c r="A254" s="46"/>
      <c r="B254" s="47"/>
      <c r="C254" s="15"/>
    </row>
    <row r="255" spans="1:3" x14ac:dyDescent="0.2">
      <c r="A255" s="46"/>
      <c r="B255" s="47"/>
      <c r="C255" s="15"/>
    </row>
    <row r="256" spans="1:3" x14ac:dyDescent="0.2">
      <c r="A256" s="46"/>
      <c r="B256" s="47"/>
      <c r="C256" s="15"/>
    </row>
    <row r="257" spans="1:3" x14ac:dyDescent="0.2">
      <c r="A257" s="46"/>
      <c r="B257" s="47"/>
      <c r="C257" s="15"/>
    </row>
    <row r="258" spans="1:3" x14ac:dyDescent="0.2">
      <c r="A258" s="46"/>
      <c r="B258" s="47"/>
      <c r="C258" s="15"/>
    </row>
    <row r="259" spans="1:3" x14ac:dyDescent="0.2">
      <c r="A259" s="46"/>
      <c r="B259" s="47"/>
      <c r="C259" s="15"/>
    </row>
    <row r="260" spans="1:3" x14ac:dyDescent="0.2">
      <c r="A260" s="46"/>
      <c r="B260" s="47"/>
      <c r="C260" s="15"/>
    </row>
    <row r="261" spans="1:3" x14ac:dyDescent="0.2">
      <c r="A261" s="46"/>
      <c r="B261" s="47"/>
      <c r="C261" s="15"/>
    </row>
    <row r="262" spans="1:3" x14ac:dyDescent="0.2">
      <c r="A262" s="46"/>
      <c r="B262" s="47"/>
      <c r="C262" s="15"/>
    </row>
    <row r="263" spans="1:3" x14ac:dyDescent="0.2">
      <c r="A263" s="46"/>
      <c r="B263" s="47"/>
      <c r="C263" s="15"/>
    </row>
    <row r="264" spans="1:3" x14ac:dyDescent="0.2">
      <c r="A264" s="46"/>
      <c r="B264" s="47"/>
      <c r="C264" s="15"/>
    </row>
    <row r="265" spans="1:3" x14ac:dyDescent="0.2">
      <c r="A265" s="46"/>
      <c r="B265" s="47"/>
      <c r="C265" s="15"/>
    </row>
    <row r="266" spans="1:3" x14ac:dyDescent="0.2">
      <c r="A266" s="46"/>
      <c r="B266" s="47"/>
      <c r="C266" s="15"/>
    </row>
    <row r="267" spans="1:3" x14ac:dyDescent="0.2">
      <c r="A267" s="46"/>
      <c r="B267" s="47"/>
      <c r="C267" s="15"/>
    </row>
    <row r="268" spans="1:3" x14ac:dyDescent="0.2">
      <c r="A268" s="46"/>
      <c r="B268" s="47"/>
      <c r="C268" s="15"/>
    </row>
    <row r="269" spans="1:3" x14ac:dyDescent="0.2">
      <c r="A269" s="46"/>
      <c r="B269" s="47"/>
      <c r="C269" s="15"/>
    </row>
    <row r="270" spans="1:3" x14ac:dyDescent="0.2">
      <c r="A270" s="46"/>
      <c r="B270" s="47"/>
      <c r="C270" s="15"/>
    </row>
    <row r="271" spans="1:3" x14ac:dyDescent="0.2">
      <c r="A271" s="46"/>
      <c r="B271" s="47"/>
      <c r="C271" s="15"/>
    </row>
    <row r="272" spans="1:3" x14ac:dyDescent="0.2">
      <c r="A272" s="46"/>
      <c r="B272" s="47"/>
      <c r="C272" s="15"/>
    </row>
    <row r="273" spans="1:3" x14ac:dyDescent="0.2">
      <c r="A273" s="46"/>
      <c r="B273" s="47"/>
      <c r="C273" s="15"/>
    </row>
    <row r="274" spans="1:3" x14ac:dyDescent="0.2">
      <c r="A274" s="46"/>
      <c r="B274" s="47"/>
      <c r="C274" s="15"/>
    </row>
    <row r="275" spans="1:3" x14ac:dyDescent="0.2">
      <c r="A275" s="46"/>
      <c r="B275" s="47"/>
      <c r="C275" s="15"/>
    </row>
    <row r="276" spans="1:3" x14ac:dyDescent="0.2">
      <c r="A276" s="46"/>
      <c r="B276" s="47"/>
      <c r="C276" s="15"/>
    </row>
    <row r="277" spans="1:3" x14ac:dyDescent="0.2">
      <c r="A277" s="46"/>
      <c r="B277" s="47"/>
      <c r="C277" s="15"/>
    </row>
    <row r="278" spans="1:3" x14ac:dyDescent="0.2">
      <c r="A278" s="46"/>
      <c r="B278" s="47"/>
      <c r="C278" s="15"/>
    </row>
    <row r="279" spans="1:3" x14ac:dyDescent="0.2">
      <c r="A279" s="46"/>
      <c r="B279" s="47"/>
      <c r="C279" s="15"/>
    </row>
    <row r="280" spans="1:3" x14ac:dyDescent="0.2">
      <c r="A280" s="46"/>
      <c r="B280" s="47"/>
      <c r="C280" s="15"/>
    </row>
    <row r="281" spans="1:3" x14ac:dyDescent="0.2">
      <c r="A281" s="46"/>
      <c r="B281" s="47"/>
      <c r="C281" s="15"/>
    </row>
    <row r="282" spans="1:3" x14ac:dyDescent="0.2">
      <c r="A282" s="46"/>
      <c r="B282" s="47"/>
      <c r="C282" s="15"/>
    </row>
    <row r="283" spans="1:3" x14ac:dyDescent="0.2">
      <c r="A283" s="46"/>
      <c r="B283" s="47"/>
      <c r="C283" s="15"/>
    </row>
    <row r="284" spans="1:3" x14ac:dyDescent="0.2">
      <c r="A284" s="46"/>
      <c r="B284" s="47"/>
      <c r="C284" s="15"/>
    </row>
    <row r="285" spans="1:3" x14ac:dyDescent="0.2">
      <c r="A285" s="46"/>
      <c r="B285" s="47"/>
      <c r="C285" s="15"/>
    </row>
    <row r="286" spans="1:3" x14ac:dyDescent="0.2">
      <c r="A286" s="46"/>
      <c r="B286" s="47"/>
      <c r="C286" s="15"/>
    </row>
    <row r="287" spans="1:3" x14ac:dyDescent="0.2">
      <c r="A287" s="46"/>
      <c r="B287" s="47"/>
      <c r="C287" s="15"/>
    </row>
    <row r="288" spans="1:3" x14ac:dyDescent="0.2">
      <c r="A288" s="46"/>
      <c r="B288" s="47"/>
      <c r="C288" s="15"/>
    </row>
    <row r="289" spans="1:3" x14ac:dyDescent="0.2">
      <c r="A289" s="46"/>
      <c r="B289" s="47"/>
      <c r="C289" s="15"/>
    </row>
    <row r="290" spans="1:3" x14ac:dyDescent="0.2">
      <c r="A290" s="46"/>
      <c r="B290" s="47"/>
      <c r="C290" s="15"/>
    </row>
    <row r="291" spans="1:3" x14ac:dyDescent="0.2">
      <c r="A291" s="46"/>
      <c r="B291" s="47"/>
      <c r="C291" s="15"/>
    </row>
    <row r="292" spans="1:3" x14ac:dyDescent="0.2">
      <c r="A292" s="46"/>
      <c r="B292" s="47"/>
      <c r="C292" s="15"/>
    </row>
    <row r="293" spans="1:3" x14ac:dyDescent="0.2">
      <c r="A293" s="46"/>
      <c r="B293" s="47"/>
      <c r="C293" s="15"/>
    </row>
    <row r="294" spans="1:3" x14ac:dyDescent="0.2">
      <c r="A294" s="46"/>
      <c r="B294" s="47"/>
      <c r="C294" s="15"/>
    </row>
    <row r="295" spans="1:3" x14ac:dyDescent="0.2">
      <c r="A295" s="46"/>
      <c r="B295" s="47"/>
      <c r="C295" s="15"/>
    </row>
    <row r="296" spans="1:3" x14ac:dyDescent="0.2">
      <c r="A296" s="46"/>
      <c r="B296" s="47"/>
      <c r="C296" s="15"/>
    </row>
    <row r="297" spans="1:3" x14ac:dyDescent="0.2">
      <c r="A297" s="46"/>
      <c r="B297" s="47"/>
      <c r="C297" s="15"/>
    </row>
    <row r="298" spans="1:3" x14ac:dyDescent="0.2">
      <c r="A298" s="46"/>
      <c r="B298" s="47"/>
      <c r="C298" s="15"/>
    </row>
    <row r="299" spans="1:3" x14ac:dyDescent="0.2">
      <c r="A299" s="46"/>
      <c r="B299" s="47"/>
      <c r="C299" s="15"/>
    </row>
    <row r="300" spans="1:3" x14ac:dyDescent="0.2">
      <c r="A300" s="46"/>
      <c r="B300" s="47"/>
      <c r="C300" s="15"/>
    </row>
    <row r="301" spans="1:3" x14ac:dyDescent="0.2">
      <c r="A301" s="46"/>
      <c r="B301" s="47"/>
      <c r="C301" s="15"/>
    </row>
    <row r="302" spans="1:3" x14ac:dyDescent="0.2">
      <c r="A302" s="46"/>
      <c r="B302" s="47"/>
      <c r="C302" s="15"/>
    </row>
    <row r="303" spans="1:3" x14ac:dyDescent="0.2">
      <c r="A303" s="46"/>
      <c r="B303" s="47"/>
      <c r="C303" s="15"/>
    </row>
    <row r="304" spans="1:3" x14ac:dyDescent="0.2">
      <c r="A304" s="46"/>
      <c r="B304" s="47"/>
      <c r="C304" s="15"/>
    </row>
    <row r="305" spans="1:3" x14ac:dyDescent="0.2">
      <c r="A305" s="46"/>
      <c r="B305" s="47"/>
      <c r="C305" s="15"/>
    </row>
    <row r="306" spans="1:3" x14ac:dyDescent="0.2">
      <c r="A306" s="46"/>
      <c r="B306" s="47"/>
      <c r="C306" s="15"/>
    </row>
    <row r="307" spans="1:3" x14ac:dyDescent="0.2">
      <c r="A307" s="46"/>
      <c r="B307" s="47"/>
      <c r="C307" s="15"/>
    </row>
    <row r="308" spans="1:3" x14ac:dyDescent="0.2">
      <c r="A308" s="46"/>
      <c r="B308" s="47"/>
      <c r="C308" s="15"/>
    </row>
    <row r="309" spans="1:3" x14ac:dyDescent="0.2">
      <c r="A309" s="46"/>
      <c r="B309" s="47"/>
      <c r="C309" s="15"/>
    </row>
    <row r="310" spans="1:3" x14ac:dyDescent="0.2">
      <c r="A310" s="46"/>
      <c r="B310" s="47"/>
      <c r="C310" s="15"/>
    </row>
    <row r="311" spans="1:3" x14ac:dyDescent="0.2">
      <c r="A311" s="46"/>
      <c r="B311" s="47"/>
      <c r="C311" s="15"/>
    </row>
    <row r="312" spans="1:3" x14ac:dyDescent="0.2">
      <c r="A312" s="46"/>
      <c r="B312" s="47"/>
      <c r="C312" s="15"/>
    </row>
    <row r="313" spans="1:3" x14ac:dyDescent="0.2">
      <c r="A313" s="46"/>
      <c r="B313" s="47"/>
      <c r="C313" s="15"/>
    </row>
    <row r="314" spans="1:3" x14ac:dyDescent="0.2">
      <c r="A314" s="46"/>
      <c r="B314" s="47"/>
      <c r="C314" s="15"/>
    </row>
    <row r="315" spans="1:3" x14ac:dyDescent="0.2">
      <c r="A315" s="46"/>
      <c r="B315" s="47"/>
      <c r="C315" s="15"/>
    </row>
    <row r="316" spans="1:3" x14ac:dyDescent="0.2">
      <c r="A316" s="46"/>
      <c r="B316" s="47"/>
      <c r="C316" s="15"/>
    </row>
    <row r="317" spans="1:3" x14ac:dyDescent="0.2">
      <c r="A317" s="46"/>
      <c r="B317" s="47"/>
      <c r="C317" s="15"/>
    </row>
    <row r="318" spans="1:3" x14ac:dyDescent="0.2">
      <c r="A318" s="46"/>
      <c r="B318" s="47"/>
      <c r="C318" s="15"/>
    </row>
    <row r="319" spans="1:3" x14ac:dyDescent="0.2">
      <c r="A319" s="46"/>
      <c r="B319" s="47"/>
      <c r="C319" s="15"/>
    </row>
    <row r="320" spans="1:3" x14ac:dyDescent="0.2">
      <c r="A320" s="46"/>
      <c r="B320" s="47"/>
      <c r="C320" s="15"/>
    </row>
    <row r="321" spans="1:3" x14ac:dyDescent="0.2">
      <c r="A321" s="46"/>
      <c r="B321" s="47"/>
      <c r="C321" s="15"/>
    </row>
    <row r="322" spans="1:3" x14ac:dyDescent="0.2">
      <c r="A322" s="46"/>
      <c r="B322" s="47"/>
      <c r="C322" s="15"/>
    </row>
    <row r="323" spans="1:3" x14ac:dyDescent="0.2">
      <c r="A323" s="46"/>
      <c r="B323" s="47"/>
      <c r="C323" s="15"/>
    </row>
    <row r="324" spans="1:3" x14ac:dyDescent="0.2">
      <c r="A324" s="46"/>
      <c r="B324" s="47"/>
      <c r="C324" s="15"/>
    </row>
    <row r="325" spans="1:3" x14ac:dyDescent="0.2">
      <c r="A325" s="46"/>
      <c r="B325" s="47"/>
      <c r="C325" s="15"/>
    </row>
    <row r="326" spans="1:3" x14ac:dyDescent="0.2">
      <c r="A326" s="46"/>
      <c r="B326" s="47"/>
      <c r="C326" s="15"/>
    </row>
    <row r="327" spans="1:3" x14ac:dyDescent="0.2">
      <c r="A327" s="46"/>
      <c r="B327" s="47"/>
      <c r="C327" s="15"/>
    </row>
    <row r="328" spans="1:3" x14ac:dyDescent="0.2">
      <c r="A328" s="46"/>
      <c r="B328" s="47"/>
      <c r="C328" s="15"/>
    </row>
    <row r="329" spans="1:3" x14ac:dyDescent="0.2">
      <c r="A329" s="46"/>
      <c r="B329" s="47"/>
      <c r="C329" s="15"/>
    </row>
    <row r="330" spans="1:3" x14ac:dyDescent="0.2">
      <c r="A330" s="46"/>
      <c r="B330" s="47"/>
      <c r="C330" s="15"/>
    </row>
    <row r="331" spans="1:3" x14ac:dyDescent="0.2">
      <c r="A331" s="46"/>
      <c r="B331" s="47"/>
      <c r="C331" s="15"/>
    </row>
    <row r="332" spans="1:3" x14ac:dyDescent="0.2">
      <c r="A332" s="46"/>
      <c r="B332" s="47"/>
      <c r="C332" s="15"/>
    </row>
    <row r="333" spans="1:3" x14ac:dyDescent="0.2">
      <c r="A333" s="46"/>
      <c r="B333" s="47"/>
      <c r="C333" s="15"/>
    </row>
    <row r="334" spans="1:3" x14ac:dyDescent="0.2">
      <c r="A334" s="46"/>
      <c r="B334" s="47"/>
      <c r="C334" s="15"/>
    </row>
    <row r="335" spans="1:3" x14ac:dyDescent="0.2">
      <c r="A335" s="46"/>
      <c r="B335" s="47"/>
      <c r="C335" s="15"/>
    </row>
    <row r="336" spans="1:3" x14ac:dyDescent="0.2">
      <c r="A336" s="46"/>
      <c r="B336" s="47"/>
      <c r="C336" s="15"/>
    </row>
    <row r="337" spans="1:3" x14ac:dyDescent="0.2">
      <c r="A337" s="46"/>
      <c r="B337" s="47"/>
      <c r="C337" s="15"/>
    </row>
    <row r="338" spans="1:3" x14ac:dyDescent="0.2">
      <c r="A338" s="46"/>
      <c r="B338" s="47"/>
      <c r="C338" s="15"/>
    </row>
    <row r="339" spans="1:3" x14ac:dyDescent="0.2">
      <c r="A339" s="46"/>
      <c r="B339" s="47"/>
      <c r="C339" s="15"/>
    </row>
    <row r="340" spans="1:3" x14ac:dyDescent="0.2">
      <c r="A340" s="46"/>
      <c r="B340" s="47"/>
      <c r="C340" s="15"/>
    </row>
    <row r="341" spans="1:3" x14ac:dyDescent="0.2">
      <c r="A341" s="46"/>
      <c r="B341" s="47"/>
      <c r="C341" s="15"/>
    </row>
    <row r="342" spans="1:3" x14ac:dyDescent="0.2">
      <c r="A342" s="46"/>
      <c r="B342" s="47"/>
      <c r="C342" s="15"/>
    </row>
    <row r="343" spans="1:3" x14ac:dyDescent="0.2">
      <c r="A343" s="46"/>
      <c r="B343" s="47"/>
      <c r="C343" s="15"/>
    </row>
    <row r="344" spans="1:3" x14ac:dyDescent="0.2">
      <c r="A344" s="46"/>
      <c r="B344" s="47"/>
      <c r="C344" s="15"/>
    </row>
    <row r="345" spans="1:3" x14ac:dyDescent="0.2">
      <c r="A345" s="46"/>
      <c r="B345" s="47"/>
      <c r="C345" s="15"/>
    </row>
    <row r="346" spans="1:3" x14ac:dyDescent="0.2">
      <c r="A346" s="46"/>
      <c r="B346" s="47"/>
      <c r="C346" s="15"/>
    </row>
    <row r="347" spans="1:3" x14ac:dyDescent="0.2">
      <c r="A347" s="46"/>
      <c r="B347" s="47"/>
      <c r="C347" s="15"/>
    </row>
    <row r="348" spans="1:3" x14ac:dyDescent="0.2">
      <c r="A348" s="46"/>
      <c r="B348" s="47"/>
      <c r="C348" s="15"/>
    </row>
    <row r="349" spans="1:3" x14ac:dyDescent="0.2">
      <c r="A349" s="46"/>
      <c r="B349" s="47"/>
      <c r="C349" s="15"/>
    </row>
    <row r="350" spans="1:3" x14ac:dyDescent="0.2">
      <c r="A350" s="46"/>
      <c r="B350" s="47"/>
      <c r="C350" s="15"/>
    </row>
    <row r="351" spans="1:3" x14ac:dyDescent="0.2">
      <c r="A351" s="46"/>
      <c r="B351" s="47"/>
      <c r="C351" s="15"/>
    </row>
    <row r="352" spans="1:3" x14ac:dyDescent="0.2">
      <c r="A352" s="46"/>
      <c r="B352" s="47"/>
      <c r="C352" s="15"/>
    </row>
    <row r="353" spans="1:3" x14ac:dyDescent="0.2">
      <c r="A353" s="46"/>
      <c r="B353" s="47"/>
      <c r="C353" s="15"/>
    </row>
    <row r="354" spans="1:3" x14ac:dyDescent="0.2">
      <c r="A354" s="46"/>
      <c r="B354" s="47"/>
      <c r="C354" s="15"/>
    </row>
    <row r="355" spans="1:3" x14ac:dyDescent="0.2">
      <c r="A355" s="46"/>
      <c r="B355" s="47"/>
      <c r="C355" s="15"/>
    </row>
    <row r="356" spans="1:3" x14ac:dyDescent="0.2">
      <c r="A356" s="46"/>
      <c r="B356" s="47"/>
      <c r="C356" s="15"/>
    </row>
    <row r="357" spans="1:3" x14ac:dyDescent="0.2">
      <c r="A357" s="46"/>
      <c r="B357" s="47"/>
      <c r="C357" s="15"/>
    </row>
    <row r="358" spans="1:3" x14ac:dyDescent="0.2">
      <c r="A358" s="46"/>
      <c r="B358" s="47"/>
      <c r="C358" s="15"/>
    </row>
    <row r="359" spans="1:3" x14ac:dyDescent="0.2">
      <c r="A359" s="46"/>
      <c r="B359" s="47"/>
      <c r="C359" s="15"/>
    </row>
    <row r="360" spans="1:3" x14ac:dyDescent="0.2">
      <c r="A360" s="46"/>
      <c r="B360" s="47"/>
      <c r="C360" s="15"/>
    </row>
    <row r="361" spans="1:3" x14ac:dyDescent="0.2">
      <c r="A361" s="46"/>
      <c r="B361" s="47"/>
      <c r="C361" s="15"/>
    </row>
    <row r="362" spans="1:3" x14ac:dyDescent="0.2">
      <c r="A362" s="46"/>
      <c r="B362" s="47"/>
      <c r="C362" s="15"/>
    </row>
    <row r="363" spans="1:3" x14ac:dyDescent="0.2">
      <c r="A363" s="46"/>
      <c r="B363" s="47"/>
      <c r="C363" s="15"/>
    </row>
    <row r="364" spans="1:3" x14ac:dyDescent="0.2">
      <c r="A364" s="46"/>
      <c r="B364" s="47"/>
      <c r="C364" s="15"/>
    </row>
    <row r="365" spans="1:3" x14ac:dyDescent="0.2">
      <c r="A365" s="46"/>
      <c r="B365" s="47"/>
      <c r="C365" s="15"/>
    </row>
    <row r="366" spans="1:3" x14ac:dyDescent="0.2">
      <c r="A366" s="46"/>
      <c r="B366" s="47"/>
      <c r="C366" s="15"/>
    </row>
    <row r="367" spans="1:3" x14ac:dyDescent="0.2">
      <c r="A367" s="46"/>
      <c r="B367" s="47"/>
      <c r="C367" s="15"/>
    </row>
    <row r="368" spans="1:3" x14ac:dyDescent="0.2">
      <c r="A368" s="46"/>
      <c r="B368" s="47"/>
      <c r="C368" s="15"/>
    </row>
    <row r="369" spans="1:3" x14ac:dyDescent="0.2">
      <c r="A369" s="46"/>
      <c r="B369" s="47"/>
      <c r="C369" s="15"/>
    </row>
    <row r="370" spans="1:3" x14ac:dyDescent="0.2">
      <c r="A370" s="46"/>
      <c r="B370" s="47"/>
      <c r="C370" s="15"/>
    </row>
    <row r="371" spans="1:3" x14ac:dyDescent="0.2">
      <c r="A371" s="46"/>
      <c r="B371" s="47"/>
      <c r="C371" s="15"/>
    </row>
    <row r="372" spans="1:3" x14ac:dyDescent="0.2">
      <c r="A372" s="46"/>
      <c r="B372" s="47"/>
      <c r="C372" s="15"/>
    </row>
    <row r="373" spans="1:3" x14ac:dyDescent="0.2">
      <c r="A373" s="46"/>
      <c r="B373" s="47"/>
      <c r="C373" s="15"/>
    </row>
    <row r="374" spans="1:3" x14ac:dyDescent="0.2">
      <c r="A374" s="46"/>
      <c r="B374" s="47"/>
      <c r="C374" s="15"/>
    </row>
    <row r="375" spans="1:3" x14ac:dyDescent="0.2">
      <c r="A375" s="46"/>
      <c r="B375" s="47"/>
      <c r="C375" s="15"/>
    </row>
    <row r="376" spans="1:3" x14ac:dyDescent="0.2">
      <c r="A376" s="46"/>
      <c r="B376" s="47"/>
      <c r="C376" s="15"/>
    </row>
    <row r="377" spans="1:3" x14ac:dyDescent="0.2">
      <c r="A377" s="46"/>
      <c r="B377" s="47"/>
      <c r="C377" s="15"/>
    </row>
    <row r="378" spans="1:3" x14ac:dyDescent="0.2">
      <c r="A378" s="46"/>
      <c r="B378" s="47"/>
      <c r="C378" s="15"/>
    </row>
    <row r="379" spans="1:3" x14ac:dyDescent="0.2">
      <c r="A379" s="46"/>
      <c r="B379" s="47"/>
      <c r="C379" s="15"/>
    </row>
    <row r="380" spans="1:3" x14ac:dyDescent="0.2">
      <c r="A380" s="46"/>
      <c r="B380" s="47"/>
      <c r="C380" s="15"/>
    </row>
    <row r="381" spans="1:3" x14ac:dyDescent="0.2">
      <c r="A381" s="46"/>
      <c r="B381" s="47"/>
      <c r="C381" s="15"/>
    </row>
    <row r="382" spans="1:3" x14ac:dyDescent="0.2">
      <c r="A382" s="46"/>
      <c r="B382" s="47"/>
      <c r="C382" s="15"/>
    </row>
    <row r="383" spans="1:3" x14ac:dyDescent="0.2">
      <c r="A383" s="46"/>
      <c r="B383" s="47"/>
      <c r="C383" s="15"/>
    </row>
    <row r="384" spans="1:3" x14ac:dyDescent="0.2">
      <c r="A384" s="46"/>
      <c r="B384" s="47"/>
      <c r="C384" s="15"/>
    </row>
    <row r="385" spans="1:3" x14ac:dyDescent="0.2">
      <c r="A385" s="46"/>
      <c r="B385" s="47"/>
      <c r="C385" s="15"/>
    </row>
    <row r="386" spans="1:3" x14ac:dyDescent="0.2">
      <c r="A386" s="46"/>
      <c r="B386" s="47"/>
      <c r="C386" s="15"/>
    </row>
    <row r="387" spans="1:3" x14ac:dyDescent="0.2">
      <c r="A387" s="46"/>
      <c r="B387" s="47"/>
      <c r="C387" s="15"/>
    </row>
    <row r="388" spans="1:3" x14ac:dyDescent="0.2">
      <c r="A388" s="46"/>
      <c r="B388" s="47"/>
      <c r="C388" s="15"/>
    </row>
    <row r="389" spans="1:3" x14ac:dyDescent="0.2">
      <c r="A389" s="46"/>
      <c r="B389" s="47"/>
      <c r="C389" s="15"/>
    </row>
    <row r="390" spans="1:3" x14ac:dyDescent="0.2">
      <c r="A390" s="46"/>
      <c r="B390" s="47"/>
      <c r="C390" s="15"/>
    </row>
    <row r="391" spans="1:3" x14ac:dyDescent="0.2">
      <c r="A391" s="46"/>
      <c r="B391" s="47"/>
      <c r="C391" s="15"/>
    </row>
    <row r="392" spans="1:3" x14ac:dyDescent="0.2">
      <c r="A392" s="46"/>
      <c r="B392" s="47"/>
      <c r="C392" s="15"/>
    </row>
    <row r="393" spans="1:3" x14ac:dyDescent="0.2">
      <c r="A393" s="46"/>
      <c r="B393" s="47"/>
      <c r="C393" s="15"/>
    </row>
    <row r="394" spans="1:3" x14ac:dyDescent="0.2">
      <c r="A394" s="46"/>
      <c r="B394" s="47"/>
      <c r="C394" s="15"/>
    </row>
    <row r="395" spans="1:3" x14ac:dyDescent="0.2">
      <c r="A395" s="46"/>
      <c r="B395" s="47"/>
      <c r="C395" s="15"/>
    </row>
    <row r="396" spans="1:3" x14ac:dyDescent="0.2">
      <c r="A396" s="46"/>
      <c r="B396" s="47"/>
      <c r="C396" s="15"/>
    </row>
    <row r="397" spans="1:3" x14ac:dyDescent="0.2">
      <c r="A397" s="46"/>
      <c r="B397" s="47"/>
      <c r="C397" s="15"/>
    </row>
    <row r="398" spans="1:3" x14ac:dyDescent="0.2">
      <c r="A398" s="46"/>
      <c r="B398" s="47"/>
      <c r="C398" s="15"/>
    </row>
    <row r="399" spans="1:3" x14ac:dyDescent="0.2">
      <c r="A399" s="46"/>
      <c r="B399" s="47"/>
      <c r="C399" s="15"/>
    </row>
    <row r="400" spans="1:3" x14ac:dyDescent="0.2">
      <c r="A400" s="46"/>
      <c r="B400" s="47"/>
      <c r="C400" s="15"/>
    </row>
    <row r="401" spans="1:3" x14ac:dyDescent="0.2">
      <c r="A401" s="46"/>
      <c r="B401" s="47"/>
      <c r="C401" s="15"/>
    </row>
    <row r="402" spans="1:3" x14ac:dyDescent="0.2">
      <c r="A402" s="46"/>
      <c r="B402" s="47"/>
      <c r="C402" s="15"/>
    </row>
    <row r="403" spans="1:3" x14ac:dyDescent="0.2">
      <c r="A403" s="46"/>
      <c r="B403" s="47"/>
      <c r="C403" s="15"/>
    </row>
    <row r="404" spans="1:3" x14ac:dyDescent="0.2">
      <c r="A404" s="46"/>
      <c r="B404" s="47"/>
      <c r="C404" s="15"/>
    </row>
    <row r="405" spans="1:3" x14ac:dyDescent="0.2">
      <c r="A405" s="46"/>
      <c r="B405" s="47"/>
      <c r="C405" s="15"/>
    </row>
    <row r="406" spans="1:3" x14ac:dyDescent="0.2">
      <c r="A406" s="46"/>
      <c r="B406" s="47"/>
      <c r="C406" s="15"/>
    </row>
    <row r="407" spans="1:3" x14ac:dyDescent="0.2">
      <c r="A407" s="46"/>
      <c r="B407" s="47"/>
      <c r="C407" s="15"/>
    </row>
    <row r="408" spans="1:3" x14ac:dyDescent="0.2">
      <c r="A408" s="46"/>
      <c r="B408" s="47"/>
      <c r="C408" s="15"/>
    </row>
    <row r="409" spans="1:3" x14ac:dyDescent="0.2">
      <c r="A409" s="46"/>
      <c r="B409" s="47"/>
      <c r="C409" s="15"/>
    </row>
    <row r="410" spans="1:3" x14ac:dyDescent="0.2">
      <c r="A410" s="46"/>
      <c r="B410" s="47"/>
      <c r="C410" s="15"/>
    </row>
    <row r="411" spans="1:3" x14ac:dyDescent="0.2">
      <c r="A411" s="46"/>
      <c r="B411" s="47"/>
      <c r="C411" s="15"/>
    </row>
    <row r="412" spans="1:3" x14ac:dyDescent="0.2">
      <c r="A412" s="46"/>
      <c r="B412" s="47"/>
      <c r="C412" s="15"/>
    </row>
    <row r="413" spans="1:3" x14ac:dyDescent="0.2">
      <c r="A413" s="46"/>
      <c r="B413" s="47"/>
      <c r="C413" s="15"/>
    </row>
    <row r="414" spans="1:3" x14ac:dyDescent="0.2">
      <c r="A414" s="46"/>
      <c r="B414" s="47"/>
      <c r="C414" s="15"/>
    </row>
    <row r="415" spans="1:3" x14ac:dyDescent="0.2">
      <c r="A415" s="46"/>
      <c r="B415" s="47"/>
      <c r="C415" s="15"/>
    </row>
    <row r="416" spans="1:3" x14ac:dyDescent="0.2">
      <c r="A416" s="47"/>
      <c r="B416" s="47"/>
      <c r="C416" s="15"/>
    </row>
    <row r="417" spans="1:3" x14ac:dyDescent="0.2">
      <c r="A417" s="47"/>
      <c r="B417" s="47"/>
      <c r="C417" s="15"/>
    </row>
    <row r="418" spans="1:3" x14ac:dyDescent="0.2">
      <c r="A418" s="47"/>
      <c r="B418" s="47"/>
      <c r="C418" s="15"/>
    </row>
    <row r="419" spans="1:3" x14ac:dyDescent="0.2">
      <c r="A419" s="47"/>
      <c r="B419" s="47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