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F8709034-E0ED-4E58-AB29-7261DC8F66B1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<sst xmlns="http://schemas.openxmlformats.org/spreadsheetml/2006/main" count="46" uniqueCount="32">
  <si>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</si>
  <si>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</si>
  <si>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</si>
  <si>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</si>
  <si>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</si>
  <si>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</si>
  <si>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</si>
  <si>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</si>
  <si>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</si>
  <si>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</si>
  <si>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</si>
  <si>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</si>
  <si>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</si>
  <si>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</si>
  <si>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</si>
  <si>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</si>
  <si>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</si>
  <si>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</si>
  <si>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</si>
  <si>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</si>
  <si>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</si>
  <si>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</si>
  <si>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</si>
  <si>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</si>
  <si>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</si>
  <si>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</si>
  <si>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</si>
  <si>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</si>
  <si>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</si>
  <si>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</si>
  <si>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35UU</t>
  </si>
  <si>
    <t>TNW025-BH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</si>
</sst>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1" fontId="6" fillId="0" borderId="0" xfId="0" applyNumberFormat="1" applyFont="1"/>
    <xf numFmtId="2" fontId="6" fillId="0" borderId="0" xfId="0" applyNumberFormat="1" applyFont="1" applyBorder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0" fontId="6" fillId="0" borderId="0" xfId="0" applyFont="1" applyAlignment="1">
      <alignment horizontal="left"/>
    </xf>
    <xf numFmtId="1" fontId="8" fillId="0" borderId="0" xfId="0" applyNumberFormat="1" applyFont="1" applyBorder="1" applyAlignment="1">
      <alignment horizontal="center"/>
    </xf>
    <xf numFmtId="164" fontId="6" fillId="0" borderId="0" xfId="0" applyNumberFormat="1" applyFont="1" applyBorder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0" customWidth="1"/>
    <col min="2" max="2" width="18.7109375" style="35" customWidth="1"/>
    <col min="3" max="3" width="18.5703125" style="35" customWidth="1"/>
    <col min="4" max="4" width="9.140625" style="10"/>
    <col min="5" max="5" width="12.28515625" style="10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9" t="s">
        <v>0</v>
      </c>
      <c r="G1" s="45"/>
      <c r="H1" s="45"/>
      <c r="I1" s="45"/>
      <c r="J1" s="45"/>
      <c r="K1" s="5"/>
      <c r="L1" s="5"/>
    </row>
    <row r="2" spans="1:12" s="3" customFormat="1" x14ac:dyDescent="0.25">
      <c r="A2" s="11" t="s">
        <v>3</v>
      </c>
      <c r="B2" s="36" t="s">
        <v>31</v>
      </c>
      <c r="C2" s="36"/>
      <c r="D2" s="13"/>
      <c r="E2" s="13"/>
    </row>
    <row r="3" spans="1:12" x14ac:dyDescent="0.25">
      <c r="A3" s="11" t="s">
        <v>4</v>
      </c>
      <c r="B3" s="36" t="s">
        <v>30</v>
      </c>
      <c r="C3" s="36"/>
      <c r="G3" s="6"/>
      <c r="H3" s="6"/>
      <c r="I3" s="6"/>
      <c r="J3" s="6"/>
      <c r="K3" s="1"/>
      <c r="L3" s="4"/>
    </row>
    <row r="4" spans="1:12" x14ac:dyDescent="0.25">
      <c r="A4" s="11" t="s">
        <v>5</v>
      </c>
      <c r="B4" s="36">
        <v>30.15</v>
      </c>
      <c r="C4" s="36"/>
      <c r="D4" s="14" t="s">
        <v>1</v>
      </c>
      <c r="K4"/>
    </row>
    <row r="5" spans="1:12" x14ac:dyDescent="0.25">
      <c r="A5" s="11"/>
      <c r="K5"/>
    </row>
    <row r="6" spans="1:12" x14ac:dyDescent="0.25">
      <c r="A6" s="15" t="s">
        <v>25</v>
      </c>
      <c r="E6" s="16"/>
      <c r="K6"/>
    </row>
    <row r="7" spans="1:12" x14ac:dyDescent="0.25">
      <c r="K7"/>
    </row>
    <row r="8" spans="1:12" x14ac:dyDescent="0.25">
      <c r="B8" s="17"/>
      <c r="C8" s="17"/>
      <c r="K8"/>
    </row>
    <row r="9" spans="1:12" x14ac:dyDescent="0.25">
      <c r="A9" s="9" t="s">
        <v>6</v>
      </c>
      <c r="B9" s="18" t="s">
        <v>28</v>
      </c>
      <c r="C9" s="18" t="s">
        <v>29</v>
      </c>
      <c r="D9" s="16"/>
      <c r="K9"/>
    </row>
    <row r="10" spans="1:12" x14ac:dyDescent="0.25">
      <c r="A10" s="12" t="s">
        <v>7</v>
      </c>
      <c r="B10" s="40">
        <v>140.5</v>
      </c>
      <c r="C10" s="37">
        <f>Height</f>
        <v>100</v>
      </c>
      <c r="D10" s="19" t="s">
        <v>2</v>
      </c>
      <c r="K10"/>
    </row>
    <row r="11" spans="1:12" x14ac:dyDescent="0.25">
      <c r="A11" s="12" t="s">
        <v>8</v>
      </c>
      <c r="B11" s="40">
        <v>71.599999999999994</v>
      </c>
      <c r="C11" s="37">
        <f>Diameter</f>
        <v>50</v>
      </c>
      <c r="D11" s="19" t="s">
        <v>2</v>
      </c>
      <c r="K11"/>
    </row>
    <row r="12" spans="1:12" x14ac:dyDescent="0.25">
      <c r="A12" s="12" t="s">
        <v>9</v>
      </c>
      <c r="B12" s="35">
        <v>0.35</v>
      </c>
      <c r="C12" s="38">
        <f>Membrane.Thickness</f>
        <v>0.35</v>
      </c>
      <c r="D12" s="19" t="s">
        <v>2</v>
      </c>
      <c r="E12" s="20"/>
      <c r="K12"/>
    </row>
    <row r="13" spans="1:12" x14ac:dyDescent="0.25">
      <c r="A13" s="12" t="s">
        <v>10</v>
      </c>
      <c r="B13" s="40">
        <v>1</v>
      </c>
      <c r="C13" s="37">
        <f>ROUND(Rate.Of.Strain, 2 - (1+INT(LOG10(ABS(Rate.Of.Strain)))))</f>
        <v>1</v>
      </c>
      <c r="D13" s="19" t="s">
        <v>20</v>
      </c>
      <c r="E13" s="20"/>
      <c r="K13"/>
    </row>
    <row r="14" spans="1:12" x14ac:dyDescent="0.25">
      <c r="A14" s="12" t="s">
        <v>11</v>
      </c>
      <c r="B14" s="35">
        <v>2.0699999999999998</v>
      </c>
      <c r="C14" s="39">
        <v>2.0499999999999998</v>
      </c>
      <c r="D14" s="19" t="s">
        <v>21</v>
      </c>
      <c r="E14" s="20"/>
      <c r="K14"/>
    </row>
    <row r="15" spans="1:12" x14ac:dyDescent="0.25">
      <c r="A15" s="12" t="s">
        <v>12</v>
      </c>
      <c r="B15" s="35">
        <v>1.73</v>
      </c>
      <c r="D15" s="19" t="s">
        <v>21</v>
      </c>
      <c r="E15" s="20"/>
      <c r="K15"/>
    </row>
    <row r="16" spans="1:12" x14ac:dyDescent="0.25">
      <c r="A16" s="12" t="s">
        <v>13</v>
      </c>
      <c r="B16" s="40">
        <v>19.399999999999999</v>
      </c>
      <c r="C16" s="40"/>
      <c r="D16" s="19" t="s">
        <v>22</v>
      </c>
      <c r="E16" s="20"/>
      <c r="K16"/>
    </row>
    <row r="17" spans="1:11" x14ac:dyDescent="0.25">
      <c r="A17" s="12"/>
      <c r="B17" s="41"/>
      <c r="C17" s="42"/>
      <c r="D17" s="19"/>
      <c r="E17" s="20"/>
      <c r="K17"/>
    </row>
    <row r="18" spans="1:11" x14ac:dyDescent="0.25">
      <c r="A18" s="23" t="s">
        <v>14</v>
      </c>
      <c r="B18" s="41"/>
      <c r="C18" s="43"/>
      <c r="D18" s="25"/>
      <c r="E18" s="26"/>
      <c r="K18"/>
    </row>
    <row r="19" spans="1:11" x14ac:dyDescent="0.25">
      <c r="A19" s="12" t="s">
        <v>15</v>
      </c>
      <c r="B19" s="44">
        <v>1000</v>
      </c>
      <c r="C19" s="44">
        <v>1000</v>
      </c>
      <c r="D19" s="19" t="s">
        <v>23</v>
      </c>
      <c r="E19" s="22"/>
      <c r="K19"/>
    </row>
    <row r="20" spans="1:11" x14ac:dyDescent="0.25">
      <c r="A20" s="12" t="s">
        <v>16</v>
      </c>
      <c r="B20" s="44">
        <v>1</v>
      </c>
      <c r="C20" s="44">
        <v>3</v>
      </c>
      <c r="D20" s="19" t="s">
        <v>22</v>
      </c>
      <c r="E20" s="24"/>
      <c r="K20"/>
    </row>
    <row r="21" spans="1:11" x14ac:dyDescent="0.25">
      <c r="A21" s="12" t="s">
        <v>17</v>
      </c>
      <c r="B21" s="40">
        <v>437.7</v>
      </c>
      <c r="C21" s="40">
        <v>367</v>
      </c>
      <c r="D21" s="19" t="s">
        <v>23</v>
      </c>
      <c r="E21" s="22"/>
      <c r="K21"/>
    </row>
    <row r="22" spans="1:11" x14ac:dyDescent="0.25">
      <c r="A22" s="12" t="s">
        <v>18</v>
      </c>
      <c r="B22" s="40">
        <v>9</v>
      </c>
      <c r="C22" s="40">
        <v>19.8</v>
      </c>
      <c r="D22" s="19" t="s">
        <v>22</v>
      </c>
      <c r="E22" s="21"/>
      <c r="K22"/>
    </row>
    <row r="23" spans="1:11" x14ac:dyDescent="0.25">
      <c r="A23" s="12" t="s">
        <v>19</v>
      </c>
      <c r="B23" s="40">
        <v>218.9</v>
      </c>
      <c r="C23" s="40">
        <v>183.5</v>
      </c>
      <c r="D23" s="19" t="s">
        <v>23</v>
      </c>
      <c r="E23" s="27"/>
      <c r="K23"/>
    </row>
    <row r="24" spans="1:11" x14ac:dyDescent="0.25">
      <c r="E24" s="27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0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29" customWidth="1"/>
  </cols>
  <sheetData>
    <row r="1" spans="1:2" x14ac:dyDescent="0.2">
      <c r="A1" s="28" t="s">
        <v>26</v>
      </c>
    </row>
    <row r="3" spans="1:2" s="7" customFormat="1" x14ac:dyDescent="0.2">
      <c r="A3" s="30" t="s">
        <v>24</v>
      </c>
      <c r="B3" s="30" t="s">
        <v>27</v>
      </c>
    </row>
    <row r="4" spans="1:2" s="7" customFormat="1" x14ac:dyDescent="0.2">
      <c r="A4" s="31" t="s">
        <v>22</v>
      </c>
      <c r="B4" s="31" t="s">
        <v>23</v>
      </c>
    </row>
    <row r="5" spans="1:2" s="7" customFormat="1" x14ac:dyDescent="0.25">
      <c r="A5" s="32">
        <v>0</v>
      </c>
      <c r="B5" s="32">
        <v>0</v>
      </c>
    </row>
    <row r="6" spans="1:2" s="7" customFormat="1" x14ac:dyDescent="0.25">
      <c r="A6" s="32">
        <v>9.9679601281594934E-2</v>
      </c>
      <c r="B6" s="32">
        <v>28.52072103409439</v>
      </c>
    </row>
    <row r="7" spans="1:2" s="7" customFormat="1" x14ac:dyDescent="0.25">
      <c r="A7" s="32">
        <v>0.20647917408330366</v>
      </c>
      <c r="B7" s="32">
        <v>75.899304526028544</v>
      </c>
    </row>
    <row r="8" spans="1:2" s="7" customFormat="1" x14ac:dyDescent="0.25">
      <c r="A8" s="32">
        <v>0.30615877536489855</v>
      </c>
      <c r="B8" s="32">
        <v>100.37647631281646</v>
      </c>
    </row>
    <row r="9" spans="1:2" x14ac:dyDescent="0.25">
      <c r="A9" s="32">
        <v>0.39871840512637957</v>
      </c>
      <c r="B9" s="32">
        <v>116.04010671384732</v>
      </c>
    </row>
    <row r="10" spans="1:2" x14ac:dyDescent="0.25">
      <c r="A10" s="32">
        <v>0.49839800640797455</v>
      </c>
      <c r="B10" s="32">
        <v>128.25665511860495</v>
      </c>
    </row>
    <row r="11" spans="1:2" x14ac:dyDescent="0.25">
      <c r="A11" s="32">
        <v>0.5980776076895693</v>
      </c>
      <c r="B11" s="32">
        <v>140.34984150513955</v>
      </c>
    </row>
    <row r="12" spans="1:2" x14ac:dyDescent="0.25">
      <c r="A12" s="32">
        <v>0.70487718049127812</v>
      </c>
      <c r="B12" s="32">
        <v>151.56889410753391</v>
      </c>
    </row>
    <row r="13" spans="1:2" x14ac:dyDescent="0.25">
      <c r="A13" s="32">
        <v>0.80455678177287304</v>
      </c>
      <c r="B13" s="32">
        <v>162.06226705206299</v>
      </c>
    </row>
    <row r="14" spans="1:2" x14ac:dyDescent="0.25">
      <c r="A14" s="32">
        <v>0.89711641153435384</v>
      </c>
      <c r="B14" s="32">
        <v>172.08032576023928</v>
      </c>
    </row>
    <row r="15" spans="1:2" x14ac:dyDescent="0.25">
      <c r="A15" s="32">
        <v>1.0039159843360628</v>
      </c>
      <c r="B15" s="32">
        <v>180.89674558587984</v>
      </c>
    </row>
    <row r="16" spans="1:2" x14ac:dyDescent="0.25">
      <c r="A16" s="32">
        <v>1.1035955856176576</v>
      </c>
      <c r="B16" s="32">
        <v>190.07646652642248</v>
      </c>
    </row>
    <row r="17" spans="1:2" x14ac:dyDescent="0.25">
      <c r="A17" s="32">
        <v>1.1961552153791386</v>
      </c>
      <c r="B17" s="32">
        <v>199.10550268474711</v>
      </c>
    </row>
    <row r="18" spans="1:2" x14ac:dyDescent="0.25">
      <c r="A18" s="32">
        <v>1.3029547881808474</v>
      </c>
      <c r="B18" s="32">
        <v>206.93431002442463</v>
      </c>
    </row>
    <row r="19" spans="1:2" x14ac:dyDescent="0.25">
      <c r="A19" s="32">
        <v>1.4026343894624422</v>
      </c>
      <c r="B19" s="32">
        <v>215.34936953217402</v>
      </c>
    </row>
    <row r="20" spans="1:2" x14ac:dyDescent="0.25">
      <c r="A20" s="32">
        <v>1.502313990744037</v>
      </c>
      <c r="B20" s="32">
        <v>223.57590930864728</v>
      </c>
    </row>
    <row r="21" spans="1:2" x14ac:dyDescent="0.25">
      <c r="A21" s="32">
        <v>1.6019935920256321</v>
      </c>
      <c r="B21" s="32">
        <v>230.95516823119578</v>
      </c>
    </row>
    <row r="22" spans="1:2" x14ac:dyDescent="0.25">
      <c r="A22" s="32">
        <v>1.7087931648273407</v>
      </c>
      <c r="B22" s="32">
        <v>238.86185719357988</v>
      </c>
    </row>
    <row r="23" spans="1:2" x14ac:dyDescent="0.25">
      <c r="A23" s="32">
        <v>1.8013527945888219</v>
      </c>
      <c r="B23" s="32">
        <v>246.61786989923462</v>
      </c>
    </row>
    <row r="24" spans="1:2" x14ac:dyDescent="0.25">
      <c r="A24" s="32">
        <v>1.9010323958704167</v>
      </c>
      <c r="B24" s="32">
        <v>253.41442416324747</v>
      </c>
    </row>
    <row r="25" spans="1:2" x14ac:dyDescent="0.25">
      <c r="A25" s="32">
        <v>2.0007119971520115</v>
      </c>
      <c r="B25" s="32">
        <v>259.95348459754683</v>
      </c>
    </row>
    <row r="26" spans="1:2" x14ac:dyDescent="0.25">
      <c r="A26" s="32">
        <v>2.1003915984336063</v>
      </c>
      <c r="B26" s="32">
        <v>267.20755807394659</v>
      </c>
    </row>
    <row r="27" spans="1:2" x14ac:dyDescent="0.25">
      <c r="A27" s="32">
        <v>2.2071911712353152</v>
      </c>
      <c r="B27" s="32">
        <v>273.45474814313383</v>
      </c>
    </row>
    <row r="28" spans="1:2" x14ac:dyDescent="0.25">
      <c r="A28" s="32">
        <v>2.299750800996796</v>
      </c>
      <c r="B28" s="32">
        <v>280.21514201488282</v>
      </c>
    </row>
    <row r="29" spans="1:2" x14ac:dyDescent="0.25">
      <c r="A29" s="32">
        <v>2.4065503737985052</v>
      </c>
      <c r="B29" s="32">
        <v>286.4342221863169</v>
      </c>
    </row>
    <row r="30" spans="1:2" x14ac:dyDescent="0.25">
      <c r="A30" s="32">
        <v>2.499110003559986</v>
      </c>
      <c r="B30" s="32">
        <v>292.92553196761463</v>
      </c>
    </row>
    <row r="31" spans="1:2" x14ac:dyDescent="0.25">
      <c r="A31" s="32">
        <v>2.6059095763616948</v>
      </c>
      <c r="B31" s="32">
        <v>298.39170705043148</v>
      </c>
    </row>
    <row r="32" spans="1:2" x14ac:dyDescent="0.25">
      <c r="A32" s="32">
        <v>2.6984692061231756</v>
      </c>
      <c r="B32" s="32">
        <v>304.61584093396988</v>
      </c>
    </row>
    <row r="33" spans="1:2" x14ac:dyDescent="0.25">
      <c r="A33" s="32">
        <v>2.8052687789248845</v>
      </c>
      <c r="B33" s="32">
        <v>310.29790742530423</v>
      </c>
    </row>
    <row r="34" spans="1:2" x14ac:dyDescent="0.25">
      <c r="A34" s="32">
        <v>2.9049483802064793</v>
      </c>
      <c r="B34" s="32">
        <v>315.9908312650017</v>
      </c>
    </row>
    <row r="35" spans="1:2" x14ac:dyDescent="0.25">
      <c r="A35" s="32">
        <v>3.0046279814880741</v>
      </c>
      <c r="B35" s="32">
        <v>321.67142869901267</v>
      </c>
    </row>
    <row r="36" spans="1:2" x14ac:dyDescent="0.25">
      <c r="A36" s="32">
        <v>3.0971876112495549</v>
      </c>
      <c r="B36" s="32">
        <v>327.36463846649764</v>
      </c>
    </row>
    <row r="37" spans="1:2" x14ac:dyDescent="0.25">
      <c r="A37" s="32">
        <v>3.1968672125311501</v>
      </c>
      <c r="B37" s="32">
        <v>332.54058131983663</v>
      </c>
    </row>
    <row r="38" spans="1:2" x14ac:dyDescent="0.25">
      <c r="A38" s="32">
        <v>3.3036667853328585</v>
      </c>
      <c r="B38" s="32">
        <v>337.67944164282409</v>
      </c>
    </row>
    <row r="39" spans="1:2" x14ac:dyDescent="0.25">
      <c r="A39" s="32">
        <v>3.4033463866144538</v>
      </c>
      <c r="B39" s="32">
        <v>343.07201501462293</v>
      </c>
    </row>
    <row r="40" spans="1:2" x14ac:dyDescent="0.25">
      <c r="A40" s="32">
        <v>3.503025987896049</v>
      </c>
      <c r="B40" s="32">
        <v>347.97383566855586</v>
      </c>
    </row>
    <row r="41" spans="1:2" x14ac:dyDescent="0.25">
      <c r="A41" s="32">
        <v>3.6027055891776438</v>
      </c>
      <c r="B41" s="32">
        <v>352.62560091058407</v>
      </c>
    </row>
    <row r="42" spans="1:2" x14ac:dyDescent="0.25">
      <c r="A42" s="32">
        <v>3.6952652189391246</v>
      </c>
      <c r="B42" s="32">
        <v>357.53329060126322</v>
      </c>
    </row>
    <row r="43" spans="1:2" x14ac:dyDescent="0.25">
      <c r="A43" s="32">
        <v>3.8020647917408334</v>
      </c>
      <c r="B43" s="32">
        <v>361.42065189813565</v>
      </c>
    </row>
    <row r="44" spans="1:2" x14ac:dyDescent="0.25">
      <c r="A44" s="32">
        <v>3.9017443930224287</v>
      </c>
      <c r="B44" s="32">
        <v>365.80339815806059</v>
      </c>
    </row>
    <row r="45" spans="1:2" x14ac:dyDescent="0.25">
      <c r="A45" s="32">
        <v>4.0014239943040231</v>
      </c>
      <c r="B45" s="32">
        <v>370.17629159541821</v>
      </c>
    </row>
    <row r="46" spans="1:2" x14ac:dyDescent="0.25">
      <c r="A46" s="32">
        <v>4.1082235671057319</v>
      </c>
      <c r="B46" s="32">
        <v>374.27270125665837</v>
      </c>
    </row>
    <row r="47" spans="1:2" x14ac:dyDescent="0.25">
      <c r="A47" s="32">
        <v>4.2007831968672127</v>
      </c>
      <c r="B47" s="32">
        <v>378.1793329837775</v>
      </c>
    </row>
    <row r="48" spans="1:2" x14ac:dyDescent="0.25">
      <c r="A48" s="32">
        <v>4.3004627981488071</v>
      </c>
      <c r="B48" s="32">
        <v>381.57348343674465</v>
      </c>
    </row>
    <row r="49" spans="1:2" x14ac:dyDescent="0.25">
      <c r="A49" s="32">
        <v>4.4072623709505168</v>
      </c>
      <c r="B49" s="32">
        <v>385.16744743820112</v>
      </c>
    </row>
    <row r="50" spans="1:2" x14ac:dyDescent="0.25">
      <c r="A50" s="32">
        <v>4.4998220007119976</v>
      </c>
      <c r="B50" s="32">
        <v>388.57514940574583</v>
      </c>
    </row>
    <row r="51" spans="1:2" x14ac:dyDescent="0.25">
      <c r="A51" s="32">
        <v>4.6066215735137064</v>
      </c>
      <c r="B51" s="32">
        <v>391.44188057767354</v>
      </c>
    </row>
    <row r="52" spans="1:2" x14ac:dyDescent="0.25">
      <c r="A52" s="32">
        <v>4.6991812032751872</v>
      </c>
      <c r="B52" s="32">
        <v>394.59836125857851</v>
      </c>
    </row>
    <row r="53" spans="1:2" x14ac:dyDescent="0.25">
      <c r="A53" s="32">
        <v>4.7988608045567824</v>
      </c>
      <c r="B53" s="32">
        <v>397.24490207877113</v>
      </c>
    </row>
    <row r="54" spans="1:2" x14ac:dyDescent="0.25">
      <c r="A54" s="32">
        <v>4.9056603773584913</v>
      </c>
      <c r="B54" s="32">
        <v>399.85426667268786</v>
      </c>
    </row>
    <row r="55" spans="1:2" x14ac:dyDescent="0.25">
      <c r="A55" s="32">
        <v>4.9982200071199721</v>
      </c>
      <c r="B55" s="32">
        <v>402.75456444027833</v>
      </c>
    </row>
    <row r="56" spans="1:2" x14ac:dyDescent="0.25">
      <c r="A56" s="32">
        <v>5.0978996084015664</v>
      </c>
      <c r="B56" s="32">
        <v>405.14618570214776</v>
      </c>
    </row>
    <row r="57" spans="1:2" x14ac:dyDescent="0.25">
      <c r="A57" s="32">
        <v>5.1975792096831617</v>
      </c>
      <c r="B57" s="32">
        <v>407.53191187444082</v>
      </c>
    </row>
    <row r="58" spans="1:2" x14ac:dyDescent="0.25">
      <c r="A58" s="32">
        <v>5.3043787824848705</v>
      </c>
      <c r="B58" s="32">
        <v>409.88008497451364</v>
      </c>
    </row>
    <row r="59" spans="1:2" x14ac:dyDescent="0.25">
      <c r="A59" s="32">
        <v>5.3969384122463513</v>
      </c>
      <c r="B59" s="32">
        <v>411.81615753734826</v>
      </c>
    </row>
    <row r="60" spans="1:2" x14ac:dyDescent="0.25">
      <c r="A60" s="32">
        <v>5.503737985048061</v>
      </c>
      <c r="B60" s="32">
        <v>413.68366103953639</v>
      </c>
    </row>
    <row r="61" spans="1:2" x14ac:dyDescent="0.25">
      <c r="A61" s="32">
        <v>5.6034175863296545</v>
      </c>
      <c r="B61" s="32">
        <v>415.3438422661547</v>
      </c>
    </row>
    <row r="62" spans="1:2" x14ac:dyDescent="0.25">
      <c r="A62" s="32">
        <v>5.7030971876112506</v>
      </c>
      <c r="B62" s="32">
        <v>416.99961255306835</v>
      </c>
    </row>
    <row r="63" spans="1:2" x14ac:dyDescent="0.25">
      <c r="A63" s="32">
        <v>5.7956568173727314</v>
      </c>
      <c r="B63" s="32">
        <v>418.44967420191625</v>
      </c>
    </row>
    <row r="64" spans="1:2" x14ac:dyDescent="0.25">
      <c r="A64" s="32">
        <v>5.9024563901744402</v>
      </c>
      <c r="B64" s="32">
        <v>419.83090781485265</v>
      </c>
    </row>
    <row r="65" spans="1:2" x14ac:dyDescent="0.25">
      <c r="A65" s="32">
        <v>6.0021359914560346</v>
      </c>
      <c r="B65" s="32">
        <v>421.00742222297106</v>
      </c>
    </row>
    <row r="66" spans="1:2" x14ac:dyDescent="0.25">
      <c r="A66" s="32">
        <v>6.1018155927376299</v>
      </c>
      <c r="B66" s="32">
        <v>422.41352665447295</v>
      </c>
    </row>
    <row r="67" spans="1:2" x14ac:dyDescent="0.25">
      <c r="A67" s="32">
        <v>6.1943752224991098</v>
      </c>
      <c r="B67" s="32">
        <v>423.61592479133208</v>
      </c>
    </row>
    <row r="68" spans="1:2" x14ac:dyDescent="0.25">
      <c r="A68" s="32">
        <v>6.3011747953008195</v>
      </c>
      <c r="B68" s="32">
        <v>424.74895322180072</v>
      </c>
    </row>
    <row r="69" spans="1:2" x14ac:dyDescent="0.25">
      <c r="A69" s="32">
        <v>6.4008543965824147</v>
      </c>
      <c r="B69" s="32">
        <v>425.67926479087458</v>
      </c>
    </row>
    <row r="70" spans="1:2" x14ac:dyDescent="0.25">
      <c r="A70" s="32">
        <v>6.5005339978640091</v>
      </c>
      <c r="B70" s="32">
        <v>426.60664957011505</v>
      </c>
    </row>
    <row r="71" spans="1:2" x14ac:dyDescent="0.25">
      <c r="A71" s="32">
        <v>6.6002135991456035</v>
      </c>
      <c r="B71" s="32">
        <v>427.7628822978034</v>
      </c>
    </row>
    <row r="72" spans="1:2" x14ac:dyDescent="0.25">
      <c r="A72" s="32">
        <v>6.6998932004271978</v>
      </c>
      <c r="B72" s="32">
        <v>428.68416613906572</v>
      </c>
    </row>
    <row r="73" spans="1:2" x14ac:dyDescent="0.25">
      <c r="A73" s="32">
        <v>6.7995728017087949</v>
      </c>
      <c r="B73" s="32">
        <v>429.60252319049494</v>
      </c>
    </row>
    <row r="74" spans="1:2" x14ac:dyDescent="0.25">
      <c r="A74" s="32">
        <v>6.8921324314702739</v>
      </c>
      <c r="B74" s="32">
        <v>430.55168420894</v>
      </c>
    </row>
    <row r="75" spans="1:2" x14ac:dyDescent="0.25">
      <c r="A75" s="32">
        <v>6.963332146671414</v>
      </c>
      <c r="B75" s="32">
        <v>431.36875440722224</v>
      </c>
    </row>
    <row r="76" spans="1:2" x14ac:dyDescent="0.25">
      <c r="A76" s="32">
        <v>7.1057315770736924</v>
      </c>
      <c r="B76" s="32">
        <v>431.84505641275604</v>
      </c>
    </row>
    <row r="77" spans="1:2" x14ac:dyDescent="0.25">
      <c r="A77" s="32">
        <v>7.1769312922748307</v>
      </c>
      <c r="B77" s="32">
        <v>432.65777303390183</v>
      </c>
    </row>
    <row r="78" spans="1:2" x14ac:dyDescent="0.25">
      <c r="A78" s="32">
        <v>7.2481310074759708</v>
      </c>
      <c r="B78" s="32">
        <v>433.23857707923463</v>
      </c>
    </row>
    <row r="79" spans="1:2" x14ac:dyDescent="0.25">
      <c r="A79" s="32">
        <v>7.3905304378782493</v>
      </c>
      <c r="B79" s="32">
        <v>433.70656765656349</v>
      </c>
    </row>
    <row r="80" spans="1:2" x14ac:dyDescent="0.25">
      <c r="A80" s="32">
        <v>7.4617301530793894</v>
      </c>
      <c r="B80" s="32">
        <v>434.28372486279392</v>
      </c>
    </row>
    <row r="81" spans="1:2" x14ac:dyDescent="0.25">
      <c r="A81" s="32">
        <v>7.6041295834816669</v>
      </c>
      <c r="B81" s="32">
        <v>434.5167284357841</v>
      </c>
    </row>
    <row r="82" spans="1:2" x14ac:dyDescent="0.25">
      <c r="A82" s="32">
        <v>7.6753292986828052</v>
      </c>
      <c r="B82" s="32">
        <v>435.09041548742061</v>
      </c>
    </row>
    <row r="83" spans="1:2" x14ac:dyDescent="0.25">
      <c r="A83" s="32">
        <v>7.7465290138839462</v>
      </c>
      <c r="B83" s="32">
        <v>435.66271024151445</v>
      </c>
    </row>
    <row r="84" spans="1:2" x14ac:dyDescent="0.25">
      <c r="A84" s="32">
        <v>7.8889284442862238</v>
      </c>
      <c r="B84" s="32">
        <v>435.66023911369143</v>
      </c>
    </row>
    <row r="85" spans="1:2" x14ac:dyDescent="0.25">
      <c r="A85" s="32">
        <v>7.9601281594873621</v>
      </c>
      <c r="B85" s="32">
        <v>436.22924039769993</v>
      </c>
    </row>
    <row r="86" spans="1:2" x14ac:dyDescent="0.25">
      <c r="A86" s="32">
        <v>8.1025275898896432</v>
      </c>
      <c r="B86" s="32">
        <v>436.22283259733399</v>
      </c>
    </row>
    <row r="87" spans="1:2" x14ac:dyDescent="0.25">
      <c r="A87" s="32">
        <v>8.1737273050907806</v>
      </c>
      <c r="B87" s="32">
        <v>436.56067040061475</v>
      </c>
    </row>
    <row r="88" spans="1:2" x14ac:dyDescent="0.25">
      <c r="A88" s="32">
        <v>8.2449270202919198</v>
      </c>
      <c r="B88" s="32">
        <v>436.89746927536987</v>
      </c>
    </row>
    <row r="89" spans="1:2" x14ac:dyDescent="0.25">
      <c r="A89" s="32">
        <v>8.3873264506941982</v>
      </c>
      <c r="B89" s="32">
        <v>436.88593036795248</v>
      </c>
    </row>
    <row r="90" spans="1:2" x14ac:dyDescent="0.25">
      <c r="A90" s="32">
        <v>8.4585261658953375</v>
      </c>
      <c r="B90" s="32">
        <v>437.44730578326465</v>
      </c>
    </row>
    <row r="91" spans="1:2" x14ac:dyDescent="0.25">
      <c r="A91" s="32">
        <v>8.6009255962976141</v>
      </c>
      <c r="B91" s="32">
        <v>437.20502029971323</v>
      </c>
    </row>
    <row r="92" spans="1:2" x14ac:dyDescent="0.25">
      <c r="A92" s="32">
        <v>8.6721253114987551</v>
      </c>
      <c r="B92" s="32">
        <v>437.53664571036575</v>
      </c>
    </row>
    <row r="93" spans="1:2" x14ac:dyDescent="0.25">
      <c r="A93" s="32">
        <v>8.7433250266998943</v>
      </c>
      <c r="B93" s="32">
        <v>437.64077565791843</v>
      </c>
    </row>
    <row r="94" spans="1:2" x14ac:dyDescent="0.25">
      <c r="A94" s="32">
        <v>8.8857244571021727</v>
      </c>
      <c r="B94" s="32">
        <v>437.39477254338374</v>
      </c>
    </row>
    <row r="95" spans="1:2" x14ac:dyDescent="0.25">
      <c r="A95" s="32">
        <v>8.9569241723033119</v>
      </c>
      <c r="B95" s="32">
        <v>437.72312566247655</v>
      </c>
    </row>
    <row r="96" spans="1:2" x14ac:dyDescent="0.25">
      <c r="A96" s="32">
        <v>9.0993236027055886</v>
      </c>
      <c r="B96" s="32">
        <v>437.24884955492701</v>
      </c>
    </row>
    <row r="97" spans="1:2" x14ac:dyDescent="0.25">
      <c r="A97" s="32">
        <v>9.1705233179067296</v>
      </c>
      <c r="B97" s="32">
        <v>437.34957288346237</v>
      </c>
    </row>
    <row r="98" spans="1:2" x14ac:dyDescent="0.25">
      <c r="A98" s="32">
        <v>9.2417230331078688</v>
      </c>
      <c r="B98" s="32">
        <v>437.22439090947472</v>
      </c>
    </row>
    <row r="99" spans="1:2" x14ac:dyDescent="0.25">
      <c r="A99" s="32">
        <v>9.3841224635101455</v>
      </c>
      <c r="B99" s="32">
        <v>436.97303039002463</v>
      </c>
    </row>
    <row r="100" spans="1:2" x14ac:dyDescent="0.25">
      <c r="A100" s="32">
        <v>9.4553221787112847</v>
      </c>
      <c r="B100" s="32">
        <v>437.07154153405145</v>
      </c>
    </row>
    <row r="101" spans="1:2" x14ac:dyDescent="0.25">
      <c r="A101" s="32">
        <v>9.5977216091135649</v>
      </c>
      <c r="B101" s="32">
        <v>436.81783450263521</v>
      </c>
    </row>
    <row r="102" spans="1:2" x14ac:dyDescent="0.25">
      <c r="A102" s="32">
        <v>9.6689213243147041</v>
      </c>
      <c r="B102" s="32">
        <v>436.91464233715328</v>
      </c>
    </row>
    <row r="103" spans="1:2" x14ac:dyDescent="0.25">
      <c r="A103" s="32">
        <v>9.7401210395158415</v>
      </c>
      <c r="B103" s="32">
        <v>436.7867816607079</v>
      </c>
    </row>
    <row r="104" spans="1:2" x14ac:dyDescent="0.25">
      <c r="A104" s="32">
        <v>9.8825204699181217</v>
      </c>
      <c r="B104" s="32">
        <v>436.53006373634264</v>
      </c>
    </row>
    <row r="105" spans="1:2" x14ac:dyDescent="0.25">
      <c r="A105" s="32">
        <v>9.9537201851192609</v>
      </c>
      <c r="B105" s="32">
        <v>436.62465938635199</v>
      </c>
    </row>
    <row r="106" spans="1:2" x14ac:dyDescent="0.25">
      <c r="A106" s="32">
        <v>10.096119615521539</v>
      </c>
      <c r="B106" s="32">
        <v>436.14249542110821</v>
      </c>
    </row>
    <row r="107" spans="1:2" x14ac:dyDescent="0.25">
      <c r="A107" s="32">
        <v>10.167319330722679</v>
      </c>
      <c r="B107" s="32">
        <v>436.23556444611745</v>
      </c>
    </row>
    <row r="108" spans="1:2" x14ac:dyDescent="0.25">
      <c r="A108" s="32">
        <v>10.238519045923818</v>
      </c>
      <c r="B108" s="32">
        <v>436.32794791161825</v>
      </c>
    </row>
    <row r="109" spans="1:2" x14ac:dyDescent="0.25">
      <c r="A109" s="32">
        <v>10.380918476326094</v>
      </c>
      <c r="B109" s="32">
        <v>436.06587258233765</v>
      </c>
    </row>
    <row r="110" spans="1:2" x14ac:dyDescent="0.25">
      <c r="A110" s="32">
        <v>10.452118191527235</v>
      </c>
      <c r="B110" s="32">
        <v>435.93433663195998</v>
      </c>
    </row>
    <row r="111" spans="1:2" x14ac:dyDescent="0.25">
      <c r="A111" s="32">
        <v>10.594517621929514</v>
      </c>
      <c r="B111" s="32">
        <v>435.67026815973026</v>
      </c>
    </row>
    <row r="112" spans="1:2" x14ac:dyDescent="0.25">
      <c r="A112" s="32">
        <v>10.665717337130651</v>
      </c>
      <c r="B112" s="32">
        <v>435.75942169072232</v>
      </c>
    </row>
    <row r="113" spans="1:2" x14ac:dyDescent="0.25">
      <c r="A113" s="32">
        <v>10.808116767532931</v>
      </c>
      <c r="B113" s="32">
        <v>435.4930067065265</v>
      </c>
    </row>
    <row r="114" spans="1:2" x14ac:dyDescent="0.25">
      <c r="A114" s="32">
        <v>10.879316482734069</v>
      </c>
      <c r="B114" s="32">
        <v>435.58045692800988</v>
      </c>
    </row>
    <row r="115" spans="1:2" x14ac:dyDescent="0.25">
      <c r="A115" s="32">
        <v>10.95051619793521</v>
      </c>
      <c r="B115" s="32">
        <v>435.44624227517465</v>
      </c>
    </row>
    <row r="116" spans="1:2" x14ac:dyDescent="0.25">
      <c r="A116" s="32">
        <v>11.092915628337488</v>
      </c>
      <c r="B116" s="32">
        <v>434.95619045223663</v>
      </c>
    </row>
    <row r="117" spans="1:2" x14ac:dyDescent="0.25">
      <c r="A117" s="32">
        <v>11.164115343538628</v>
      </c>
      <c r="B117" s="32">
        <v>435.0416051737198</v>
      </c>
    </row>
    <row r="118" spans="1:2" x14ac:dyDescent="0.25">
      <c r="A118" s="32">
        <v>11.235315058739765</v>
      </c>
      <c r="B118" s="32">
        <v>434.68578918214251</v>
      </c>
    </row>
    <row r="119" spans="1:2" x14ac:dyDescent="0.25">
      <c r="A119" s="32">
        <v>11.377714489142043</v>
      </c>
      <c r="B119" s="32">
        <v>434.19413994232355</v>
      </c>
    </row>
    <row r="120" spans="1:2" x14ac:dyDescent="0.25">
      <c r="A120" s="32">
        <v>11.448914204343183</v>
      </c>
      <c r="B120" s="32">
        <v>434.27769584831509</v>
      </c>
    </row>
    <row r="121" spans="1:2" x14ac:dyDescent="0.25">
      <c r="A121" s="32">
        <v>11.591313634745461</v>
      </c>
      <c r="B121" s="32">
        <v>433.78458351907261</v>
      </c>
    </row>
    <row r="122" spans="1:2" x14ac:dyDescent="0.25">
      <c r="A122" s="32">
        <v>11.6625133499466</v>
      </c>
      <c r="B122" s="32">
        <v>433.4281878606144</v>
      </c>
    </row>
    <row r="123" spans="1:2" x14ac:dyDescent="0.25">
      <c r="A123" s="32">
        <v>11.733713065147738</v>
      </c>
      <c r="B123" s="32">
        <v>433.29084916589812</v>
      </c>
    </row>
    <row r="124" spans="1:2" x14ac:dyDescent="0.25">
      <c r="A124" s="32">
        <v>11.87611249555002</v>
      </c>
      <c r="B124" s="32">
        <v>432.57781037259235</v>
      </c>
    </row>
    <row r="125" spans="1:2" x14ac:dyDescent="0.25">
      <c r="A125" s="32">
        <v>11.947312210751155</v>
      </c>
      <c r="B125" s="32">
        <v>432.43982847541855</v>
      </c>
    </row>
    <row r="126" spans="1:2" x14ac:dyDescent="0.25">
      <c r="A126" s="32">
        <v>12.089711641153436</v>
      </c>
      <c r="B126" s="32">
        <v>431.72656338424895</v>
      </c>
    </row>
    <row r="127" spans="1:2" x14ac:dyDescent="0.25">
      <c r="A127" s="32">
        <v>12.160911356354575</v>
      </c>
      <c r="B127" s="32">
        <v>431.58793828461762</v>
      </c>
    </row>
    <row r="128" spans="1:2" x14ac:dyDescent="0.25">
      <c r="A128" s="32">
        <v>12.303310786756851</v>
      </c>
      <c r="B128" s="32">
        <v>430.87444689558419</v>
      </c>
    </row>
    <row r="129" spans="1:2" x14ac:dyDescent="0.25">
      <c r="A129" s="32">
        <v>12.374510501957992</v>
      </c>
      <c r="B129" s="32">
        <v>430.3002873442162</v>
      </c>
    </row>
    <row r="130" spans="1:2" x14ac:dyDescent="0.25">
      <c r="A130" s="32">
        <v>12.44571021715913</v>
      </c>
      <c r="B130" s="32">
        <v>429.72650234039077</v>
      </c>
    </row>
    <row r="131" spans="1:2" x14ac:dyDescent="0.25">
      <c r="A131" s="32">
        <v>12.58810964756141</v>
      </c>
      <c r="B131" s="32">
        <v>428.58005597536771</v>
      </c>
    </row>
    <row r="132" spans="1:2" x14ac:dyDescent="0.25">
      <c r="A132" s="32">
        <v>12.659309362762547</v>
      </c>
      <c r="B132" s="32">
        <v>428.22413350077545</v>
      </c>
    </row>
    <row r="133" spans="1:2" x14ac:dyDescent="0.25">
      <c r="A133" s="32">
        <v>12.801708793164826</v>
      </c>
      <c r="B133" s="32">
        <v>427.51235208716764</v>
      </c>
    </row>
    <row r="134" spans="1:2" x14ac:dyDescent="0.25">
      <c r="A134" s="32">
        <v>12.872908508365965</v>
      </c>
      <c r="B134" s="32">
        <v>426.94028431507212</v>
      </c>
    </row>
    <row r="135" spans="1:2" x14ac:dyDescent="0.25">
      <c r="A135" s="32">
        <v>12.944108223567108</v>
      </c>
      <c r="B135" s="32">
        <v>426.58462323909055</v>
      </c>
    </row>
    <row r="136" spans="1:2" x14ac:dyDescent="0.25">
      <c r="A136" s="32">
        <v>13.086507653969385</v>
      </c>
      <c r="B136" s="32">
        <v>426.08904340225848</v>
      </c>
    </row>
    <row r="137" spans="1:2" x14ac:dyDescent="0.25">
      <c r="A137" s="32">
        <v>13.15770736917052</v>
      </c>
      <c r="B137" s="32">
        <v>425.73326917734499</v>
      </c>
    </row>
    <row r="138" spans="1:2" x14ac:dyDescent="0.25">
      <c r="A138" s="32">
        <v>13.300106799572802</v>
      </c>
      <c r="B138" s="32">
        <v>425.02178426309462</v>
      </c>
    </row>
    <row r="139" spans="1:2" x14ac:dyDescent="0.25">
      <c r="A139" s="32">
        <v>13.37130651477394</v>
      </c>
      <c r="B139" s="32">
        <v>424.66607357375773</v>
      </c>
    </row>
    <row r="140" spans="1:2" x14ac:dyDescent="0.25">
      <c r="A140" s="32">
        <v>13.442506229975079</v>
      </c>
      <c r="B140" s="32">
        <v>424.52517941995808</v>
      </c>
    </row>
    <row r="141" spans="1:2" x14ac:dyDescent="0.25">
      <c r="A141" s="32">
        <v>13.584905660377359</v>
      </c>
      <c r="B141" s="32">
        <v>424.0279525528897</v>
      </c>
    </row>
    <row r="142" spans="1:2" x14ac:dyDescent="0.25">
      <c r="A142" s="32">
        <v>13.656105375578498</v>
      </c>
      <c r="B142" s="32">
        <v>423.67197320863789</v>
      </c>
    </row>
    <row r="143" spans="1:2" x14ac:dyDescent="0.25">
      <c r="A143" s="32">
        <v>13.798504805980777</v>
      </c>
      <c r="B143" s="32">
        <v>423.17398999018008</v>
      </c>
    </row>
    <row r="144" spans="1:2" x14ac:dyDescent="0.25">
      <c r="A144" s="32">
        <v>13.869704521181914</v>
      </c>
      <c r="B144" s="32">
        <v>423.03163274695686</v>
      </c>
    </row>
    <row r="145" spans="1:2" x14ac:dyDescent="0.25">
      <c r="A145" s="32">
        <v>13.940904236383053</v>
      </c>
      <c r="B145" s="32">
        <v>423.10250187869434</v>
      </c>
    </row>
    <row r="146" spans="1:2" x14ac:dyDescent="0.25">
      <c r="A146" s="32">
        <v>14.083303666785332</v>
      </c>
      <c r="B146" s="32">
        <v>422.38936267790336</v>
      </c>
    </row>
    <row r="147" spans="1:2" x14ac:dyDescent="0.25">
      <c r="A147" s="32">
        <v>14.154503381986473</v>
      </c>
      <c r="B147" s="32">
        <v>422.2458533572227</v>
      </c>
    </row>
    <row r="148" spans="1:2" x14ac:dyDescent="0.25">
      <c r="A148" s="32">
        <v>14.296902812388751</v>
      </c>
      <c r="B148" s="32">
        <v>421.95783814438681</v>
      </c>
    </row>
    <row r="149" spans="1:2" x14ac:dyDescent="0.25">
      <c r="A149" s="32">
        <v>14.36810252758989</v>
      </c>
      <c r="B149" s="32">
        <v>421.60083379383076</v>
      </c>
    </row>
    <row r="150" spans="1:2" x14ac:dyDescent="0.25">
      <c r="A150" s="32">
        <v>14.439302242791028</v>
      </c>
      <c r="B150" s="32">
        <v>421.45617239569253</v>
      </c>
    </row>
    <row r="151" spans="1:2" x14ac:dyDescent="0.25">
      <c r="A151" s="32">
        <v>14.581701673193306</v>
      </c>
      <c r="B151" s="32">
        <v>420.95388462306613</v>
      </c>
    </row>
    <row r="152" spans="1:2" x14ac:dyDescent="0.25">
      <c r="A152" s="32">
        <v>14.652901388394445</v>
      </c>
      <c r="B152" s="32">
        <v>420.80840333796198</v>
      </c>
    </row>
    <row r="153" spans="1:2" x14ac:dyDescent="0.25">
      <c r="A153" s="32">
        <v>14.795300818796726</v>
      </c>
      <c r="B153" s="32">
        <v>420.30500584492916</v>
      </c>
    </row>
    <row r="154" spans="1:2" x14ac:dyDescent="0.25">
      <c r="A154" s="32">
        <v>14.866500533997865</v>
      </c>
      <c r="B154" s="32">
        <v>420.15870467285885</v>
      </c>
    </row>
    <row r="155" spans="1:2" x14ac:dyDescent="0.25">
      <c r="A155" s="32">
        <v>14.937700249199001</v>
      </c>
      <c r="B155" s="32">
        <v>419.80098632796438</v>
      </c>
    </row>
    <row r="156" spans="1:2" x14ac:dyDescent="0.25">
      <c r="A156" s="32">
        <v>15.080099679601283</v>
      </c>
      <c r="B156" s="32">
        <v>419.2963447870676</v>
      </c>
    </row>
    <row r="157" spans="1:2" x14ac:dyDescent="0.25">
      <c r="A157" s="32">
        <v>15.15129939480242</v>
      </c>
      <c r="B157" s="32">
        <v>418.93851329324121</v>
      </c>
    </row>
    <row r="158" spans="1:2" x14ac:dyDescent="0.25">
      <c r="A158" s="32">
        <v>15.293698825204698</v>
      </c>
      <c r="B158" s="32">
        <v>418.01271228137477</v>
      </c>
    </row>
    <row r="159" spans="1:2" x14ac:dyDescent="0.25">
      <c r="A159" s="32">
        <v>15.364898540405839</v>
      </c>
      <c r="B159" s="32">
        <v>418.07517075819675</v>
      </c>
    </row>
    <row r="160" spans="1:2" x14ac:dyDescent="0.25">
      <c r="A160" s="32">
        <v>15.436098255606979</v>
      </c>
      <c r="B160" s="32">
        <v>417.71724729396391</v>
      </c>
    </row>
    <row r="161" spans="1:2" x14ac:dyDescent="0.25">
      <c r="A161" s="32">
        <v>15.578497686009257</v>
      </c>
      <c r="B161" s="32">
        <v>417.21095872283087</v>
      </c>
    </row>
    <row r="162" spans="1:2" x14ac:dyDescent="0.25">
      <c r="A162" s="32">
        <v>15.649697401210394</v>
      </c>
      <c r="B162" s="32">
        <v>416.64360397241859</v>
      </c>
    </row>
    <row r="163" spans="1:2" x14ac:dyDescent="0.25">
      <c r="A163" s="32">
        <v>15.792096831612676</v>
      </c>
      <c r="B163" s="32">
        <v>416.13691241891308</v>
      </c>
    </row>
    <row r="164" spans="1:2" x14ac:dyDescent="0.25">
      <c r="A164" s="32">
        <v>15.863296546813812</v>
      </c>
      <c r="B164" s="32">
        <v>415.77893934132504</v>
      </c>
    </row>
    <row r="165" spans="1:2" x14ac:dyDescent="0.25">
      <c r="A165" s="32">
        <v>15.934496262014953</v>
      </c>
      <c r="B165" s="32">
        <v>415.4209874422624</v>
      </c>
    </row>
    <row r="166" spans="1:2" x14ac:dyDescent="0.25">
      <c r="A166" s="32">
        <v>16.076895692417231</v>
      </c>
      <c r="B166" s="32">
        <v>414.70514717971361</v>
      </c>
    </row>
    <row r="167" spans="1:2" x14ac:dyDescent="0.25">
      <c r="A167" s="32">
        <v>16.148095407618371</v>
      </c>
      <c r="B167" s="32">
        <v>414.55534016191547</v>
      </c>
    </row>
    <row r="168" spans="1:2" x14ac:dyDescent="0.25">
      <c r="A168" s="32">
        <v>16.290494838020649</v>
      </c>
      <c r="B168" s="32">
        <v>414.04700157817376</v>
      </c>
    </row>
    <row r="169" spans="1:2" x14ac:dyDescent="0.25">
      <c r="A169" s="32">
        <v>16.361694553221788</v>
      </c>
      <c r="B169" s="32">
        <v>413.89637467340958</v>
      </c>
    </row>
    <row r="170" spans="1:2" x14ac:dyDescent="0.25">
      <c r="A170" s="32">
        <v>16.504093983624067</v>
      </c>
      <c r="B170" s="32">
        <v>413.3869263692614</v>
      </c>
    </row>
    <row r="171" spans="1:2" x14ac:dyDescent="0.25">
      <c r="A171" s="32">
        <v>16.575293698825206</v>
      </c>
      <c r="B171" s="32">
        <v>413.44250081616792</v>
      </c>
    </row>
    <row r="172" spans="1:2" x14ac:dyDescent="0.25">
      <c r="A172" s="32">
        <v>16.646493414026345</v>
      </c>
      <c r="B172" s="32">
        <v>413.29054514943761</v>
      </c>
    </row>
    <row r="173" spans="1:2" x14ac:dyDescent="0.25">
      <c r="A173" s="32">
        <v>16.78889284442862</v>
      </c>
      <c r="B173" s="32">
        <v>412.98563724450253</v>
      </c>
    </row>
    <row r="174" spans="1:2" x14ac:dyDescent="0.25">
      <c r="A174" s="32">
        <v>16.860092559629763</v>
      </c>
      <c r="B174" s="32">
        <v>412.83268500629765</v>
      </c>
    </row>
    <row r="175" spans="1:2" x14ac:dyDescent="0.25">
      <c r="A175" s="32">
        <v>17.002491990032041</v>
      </c>
      <c r="B175" s="32">
        <v>412.52578395841351</v>
      </c>
    </row>
    <row r="176" spans="1:2" x14ac:dyDescent="0.25">
      <c r="A176" s="32">
        <v>17.07369170523318</v>
      </c>
      <c r="B176" s="32">
        <v>412.37183514873419</v>
      </c>
    </row>
    <row r="177" spans="1:2" x14ac:dyDescent="0.25">
      <c r="A177" s="32">
        <v>17.14489142043432</v>
      </c>
      <c r="B177" s="32">
        <v>412.21755414856329</v>
      </c>
    </row>
    <row r="178" spans="1:2" x14ac:dyDescent="0.25">
      <c r="A178" s="32">
        <v>17.287290850836595</v>
      </c>
      <c r="B178" s="32">
        <v>411.90799557674694</v>
      </c>
    </row>
    <row r="179" spans="1:2" x14ac:dyDescent="0.25">
      <c r="A179" s="32">
        <v>17.358490566037737</v>
      </c>
      <c r="B179" s="32">
        <v>411.95779571414454</v>
      </c>
    </row>
    <row r="180" spans="1:2" x14ac:dyDescent="0.25">
      <c r="A180" s="32">
        <v>17.500889996440012</v>
      </c>
      <c r="B180" s="32">
        <v>411.64589063036215</v>
      </c>
    </row>
    <row r="181" spans="1:2" x14ac:dyDescent="0.25">
      <c r="A181" s="32">
        <v>17.572089711641155</v>
      </c>
      <c r="B181" s="32">
        <v>411.89853511376839</v>
      </c>
    </row>
    <row r="182" spans="1:2" x14ac:dyDescent="0.25">
      <c r="A182" s="32">
        <v>17.643289426842294</v>
      </c>
      <c r="B182" s="32">
        <v>411.74139872663142</v>
      </c>
    </row>
    <row r="183" spans="1:2" x14ac:dyDescent="0.25">
      <c r="A183" s="32">
        <v>17.785688857244569</v>
      </c>
      <c r="B183" s="32">
        <v>411.4261293808828</v>
      </c>
    </row>
    <row r="184" spans="1:2" x14ac:dyDescent="0.25">
      <c r="A184" s="32">
        <v>17.856888572445712</v>
      </c>
      <c r="B184" s="32">
        <v>411.47183733975442</v>
      </c>
    </row>
    <row r="185" spans="1:2" x14ac:dyDescent="0.25">
      <c r="A185" s="32">
        <v>17.999288002847987</v>
      </c>
      <c r="B185" s="32">
        <v>411.35770903050593</v>
      </c>
    </row>
    <row r="186" spans="1:2" x14ac:dyDescent="0.25">
      <c r="A186" s="32">
        <v>18.070487718049126</v>
      </c>
      <c r="B186" s="32">
        <v>411.40153699536057</v>
      </c>
    </row>
    <row r="187" spans="1:2" x14ac:dyDescent="0.25">
      <c r="A187" s="32">
        <v>18.141687433250269</v>
      </c>
      <c r="B187" s="32">
        <v>411.2415452212573</v>
      </c>
    </row>
    <row r="188" spans="1:2" x14ac:dyDescent="0.25">
      <c r="A188" s="32">
        <v>18.284086863652547</v>
      </c>
      <c r="B188" s="32">
        <v>410.9205651015763</v>
      </c>
    </row>
    <row r="189" spans="1:2" x14ac:dyDescent="0.25">
      <c r="A189" s="32">
        <v>18.355286578853686</v>
      </c>
      <c r="B189" s="32">
        <v>410.96218088192217</v>
      </c>
    </row>
    <row r="190" spans="1:2" x14ac:dyDescent="0.25">
      <c r="A190" s="32">
        <v>18.497686009255961</v>
      </c>
      <c r="B190" s="32">
        <v>410.63885425027496</v>
      </c>
    </row>
    <row r="191" spans="1:2" x14ac:dyDescent="0.25">
      <c r="A191" s="32">
        <v>18.5688857244571</v>
      </c>
      <c r="B191" s="32">
        <v>410.27461857631613</v>
      </c>
    </row>
    <row r="192" spans="1:2" x14ac:dyDescent="0.25">
      <c r="A192" s="32">
        <v>18.640085439658243</v>
      </c>
      <c r="B192" s="32">
        <v>410.31419885666185</v>
      </c>
    </row>
    <row r="193" spans="1:2" x14ac:dyDescent="0.25">
      <c r="A193" s="32">
        <v>18.782484870060522</v>
      </c>
      <c r="B193" s="32">
        <v>409.78667068221012</v>
      </c>
    </row>
    <row r="194" spans="1:2" x14ac:dyDescent="0.25">
      <c r="A194" s="32">
        <v>18.853684585261657</v>
      </c>
      <c r="B194" s="32">
        <v>409.82472433755572</v>
      </c>
    </row>
    <row r="195" spans="1:2" x14ac:dyDescent="0.25">
      <c r="A195" s="32">
        <v>18.996084015663939</v>
      </c>
      <c r="B195" s="32">
        <v>409.29573307368048</v>
      </c>
    </row>
    <row r="196" spans="1:2" x14ac:dyDescent="0.25">
      <c r="A196" s="32">
        <v>19.067283730865075</v>
      </c>
      <c r="B196" s="32">
        <v>409.33226010402592</v>
      </c>
    </row>
    <row r="197" spans="1:2" x14ac:dyDescent="0.25">
      <c r="A197" s="32">
        <v>19.138483446066218</v>
      </c>
      <c r="B197" s="32">
        <v>409.16744097853302</v>
      </c>
    </row>
    <row r="198" spans="1:2" x14ac:dyDescent="0.25">
      <c r="A198" s="32">
        <v>19.280882876468493</v>
      </c>
      <c r="B198" s="32">
        <v>408.23588447413402</v>
      </c>
    </row>
    <row r="199" spans="1:2" x14ac:dyDescent="0.25">
      <c r="A199" s="32">
        <v>19.352082591669635</v>
      </c>
      <c r="B199" s="32">
        <v>408.07059883069206</v>
      </c>
    </row>
    <row r="200" spans="1:2" x14ac:dyDescent="0.25">
      <c r="A200" s="32">
        <v>19.494482022071914</v>
      </c>
      <c r="B200" s="32">
        <v>407.33947662475919</v>
      </c>
    </row>
    <row r="201" spans="1:2" x14ac:dyDescent="0.25">
      <c r="A201" s="32">
        <v>19.565681737273049</v>
      </c>
      <c r="B201" s="32">
        <v>407.17354777885976</v>
      </c>
    </row>
    <row r="202" spans="1:2" x14ac:dyDescent="0.25">
      <c r="A202" s="32">
        <v>19.636881452474189</v>
      </c>
      <c r="B202" s="32">
        <v>407.20671054723908</v>
      </c>
    </row>
    <row r="203" spans="1:2" x14ac:dyDescent="0.25">
      <c r="A203" s="32">
        <v>19.779280882876467</v>
      </c>
      <c r="B203" s="32">
        <v>406.47469766245922</v>
      </c>
    </row>
    <row r="204" spans="1:2" x14ac:dyDescent="0.25">
      <c r="A204" s="32">
        <v>19.850480598077606</v>
      </c>
      <c r="B204" s="32">
        <v>406.50651049034695</v>
      </c>
    </row>
    <row r="205" spans="1:2" x14ac:dyDescent="0.25">
      <c r="A205" s="32">
        <v>19.992880028479888</v>
      </c>
      <c r="B205" s="32">
        <v>405.77391793868617</v>
      </c>
    </row>
    <row r="206" spans="1:2" x14ac:dyDescent="0.25">
      <c r="A206" s="32">
        <v>20.064079743681027</v>
      </c>
      <c r="B206" s="32">
        <v>405.80438082608237</v>
      </c>
    </row>
    <row r="207" spans="1:2" x14ac:dyDescent="0.25">
      <c r="A207" s="32">
        <v>20.135279458882163</v>
      </c>
      <c r="B207" s="32">
        <v>405.8341581539699</v>
      </c>
    </row>
    <row r="208" spans="1:2" x14ac:dyDescent="0.25">
      <c r="A208" s="32"/>
      <c r="B208" s="32"/>
    </row>
    <row r="209" spans="1:2" x14ac:dyDescent="0.25">
      <c r="A209" s="32"/>
      <c r="B209" s="32"/>
    </row>
    <row r="210" spans="1:2" x14ac:dyDescent="0.25">
      <c r="A210" s="32"/>
      <c r="B210" s="32"/>
    </row>
    <row r="211" spans="1:2" x14ac:dyDescent="0.25">
      <c r="A211" s="32"/>
      <c r="B211" s="32"/>
    </row>
    <row r="212" spans="1:2" x14ac:dyDescent="0.25">
      <c r="A212" s="32"/>
      <c r="B212" s="32"/>
    </row>
    <row r="213" spans="1:2" x14ac:dyDescent="0.25">
      <c r="A213" s="32"/>
      <c r="B213" s="32"/>
    </row>
    <row r="214" spans="1:2" x14ac:dyDescent="0.25">
      <c r="A214" s="32"/>
      <c r="B214" s="32"/>
    </row>
    <row r="215" spans="1:2" x14ac:dyDescent="0.25">
      <c r="A215" s="32"/>
      <c r="B215" s="32"/>
    </row>
    <row r="216" spans="1:2" x14ac:dyDescent="0.25">
      <c r="A216" s="32"/>
      <c r="B216" s="32"/>
    </row>
    <row r="217" spans="1:2" x14ac:dyDescent="0.25">
      <c r="A217" s="32"/>
      <c r="B217" s="32"/>
    </row>
    <row r="218" spans="1:2" x14ac:dyDescent="0.25">
      <c r="A218" s="32"/>
      <c r="B218" s="32"/>
    </row>
    <row r="219" spans="1:2" x14ac:dyDescent="0.25">
      <c r="A219" s="32"/>
      <c r="B219" s="32"/>
    </row>
    <row r="220" spans="1:2" x14ac:dyDescent="0.25">
      <c r="A220" s="32"/>
      <c r="B220" s="32"/>
    </row>
    <row r="221" spans="1:2" x14ac:dyDescent="0.25">
      <c r="A221" s="32"/>
      <c r="B221" s="32"/>
    </row>
    <row r="222" spans="1:2" x14ac:dyDescent="0.25">
      <c r="A222" s="32"/>
      <c r="B222" s="32"/>
    </row>
    <row r="223" spans="1:2" x14ac:dyDescent="0.25">
      <c r="A223" s="32"/>
      <c r="B223" s="32"/>
    </row>
    <row r="224" spans="1:2" x14ac:dyDescent="0.25">
      <c r="A224" s="32"/>
      <c r="B224" s="32"/>
    </row>
    <row r="225" spans="1:2" x14ac:dyDescent="0.25">
      <c r="A225" s="32"/>
      <c r="B225" s="32"/>
    </row>
    <row r="226" spans="1:2" x14ac:dyDescent="0.25">
      <c r="A226" s="32"/>
      <c r="B226" s="32"/>
    </row>
    <row r="227" spans="1:2" x14ac:dyDescent="0.25">
      <c r="A227" s="32"/>
      <c r="B227" s="32"/>
    </row>
    <row r="228" spans="1:2" x14ac:dyDescent="0.25">
      <c r="A228" s="32"/>
      <c r="B228" s="32"/>
    </row>
    <row r="229" spans="1:2" x14ac:dyDescent="0.25">
      <c r="A229" s="32"/>
      <c r="B229" s="32"/>
    </row>
    <row r="230" spans="1:2" x14ac:dyDescent="0.25">
      <c r="A230" s="32"/>
      <c r="B230" s="32"/>
    </row>
    <row r="231" spans="1:2" x14ac:dyDescent="0.25">
      <c r="A231" s="32"/>
      <c r="B231" s="32"/>
    </row>
    <row r="232" spans="1:2" x14ac:dyDescent="0.25">
      <c r="A232" s="32"/>
      <c r="B232" s="32"/>
    </row>
    <row r="233" spans="1:2" x14ac:dyDescent="0.25">
      <c r="A233" s="32"/>
      <c r="B233" s="32"/>
    </row>
    <row r="234" spans="1:2" x14ac:dyDescent="0.25">
      <c r="A234" s="32"/>
      <c r="B234" s="32"/>
    </row>
    <row r="235" spans="1:2" x14ac:dyDescent="0.25">
      <c r="A235" s="32"/>
      <c r="B235" s="32"/>
    </row>
    <row r="236" spans="1:2" x14ac:dyDescent="0.25">
      <c r="A236" s="32"/>
      <c r="B236" s="32"/>
    </row>
    <row r="237" spans="1:2" x14ac:dyDescent="0.25">
      <c r="A237" s="32"/>
      <c r="B237" s="32"/>
    </row>
    <row r="238" spans="1:2" x14ac:dyDescent="0.25">
      <c r="A238" s="32"/>
      <c r="B238" s="32"/>
    </row>
    <row r="239" spans="1:2" x14ac:dyDescent="0.2">
      <c r="A239" s="33"/>
      <c r="B239" s="33"/>
    </row>
    <row r="240" spans="1:2" x14ac:dyDescent="0.2">
      <c r="A240" s="33"/>
      <c r="B240" s="33"/>
    </row>
    <row r="241" spans="1:2" x14ac:dyDescent="0.2">
      <c r="A241" s="33"/>
      <c r="B241" s="33"/>
    </row>
    <row r="242" spans="1:2" x14ac:dyDescent="0.2">
      <c r="A242" s="33"/>
      <c r="B242" s="33"/>
    </row>
    <row r="243" spans="1:2" x14ac:dyDescent="0.2">
      <c r="A243" s="33"/>
      <c r="B243" s="33"/>
    </row>
    <row r="244" spans="1:2" x14ac:dyDescent="0.2">
      <c r="A244" s="33"/>
      <c r="B244" s="33"/>
    </row>
    <row r="245" spans="1:2" x14ac:dyDescent="0.2">
      <c r="A245" s="33"/>
      <c r="B245" s="33"/>
    </row>
    <row r="246" spans="1:2" x14ac:dyDescent="0.2">
      <c r="A246" s="33"/>
      <c r="B246" s="33"/>
    </row>
    <row r="247" spans="1:2" x14ac:dyDescent="0.2">
      <c r="A247" s="33"/>
      <c r="B247" s="33"/>
    </row>
    <row r="248" spans="1:2" x14ac:dyDescent="0.2">
      <c r="A248" s="33"/>
      <c r="B248" s="33"/>
    </row>
    <row r="249" spans="1:2" x14ac:dyDescent="0.2">
      <c r="A249" s="33"/>
      <c r="B249" s="33"/>
    </row>
    <row r="250" spans="1:2" x14ac:dyDescent="0.2">
      <c r="A250" s="33"/>
      <c r="B250" s="33"/>
    </row>
    <row r="251" spans="1:2" x14ac:dyDescent="0.2">
      <c r="A251" s="33"/>
      <c r="B251" s="33"/>
    </row>
    <row r="252" spans="1:2" x14ac:dyDescent="0.2">
      <c r="A252" s="33"/>
      <c r="B252" s="33"/>
    </row>
    <row r="253" spans="1:2" x14ac:dyDescent="0.2">
      <c r="A253" s="33"/>
      <c r="B253" s="33"/>
    </row>
    <row r="254" spans="1:2" x14ac:dyDescent="0.2">
      <c r="A254" s="33"/>
      <c r="B254" s="33"/>
    </row>
    <row r="255" spans="1:2" x14ac:dyDescent="0.2">
      <c r="A255" s="33"/>
      <c r="B255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29" customWidth="1"/>
  </cols>
  <sheetData>
    <row r="1" spans="1:3" x14ac:dyDescent="0.2">
      <c r="A1" s="28" t="s">
        <v>26</v>
      </c>
    </row>
    <row r="3" spans="1:3" s="7" customFormat="1" x14ac:dyDescent="0.2">
      <c r="A3" s="30" t="s">
        <v>24</v>
      </c>
      <c r="B3" s="30" t="s">
        <v>27</v>
      </c>
    </row>
    <row r="4" spans="1:3" s="7" customFormat="1" x14ac:dyDescent="0.2">
      <c r="A4" s="31" t="s">
        <v>22</v>
      </c>
      <c r="B4" s="31" t="s">
        <v>23</v>
      </c>
    </row>
    <row r="5" spans="1:3" s="7" customFormat="1" x14ac:dyDescent="0.25">
      <c r="A5" s="32">
        <v>0</v>
      </c>
      <c r="B5" s="32">
        <v>0</v>
      </c>
      <c r="C5" s="8"/>
    </row>
    <row r="6" spans="1:3" s="7" customFormat="1" x14ac:dyDescent="0.25">
      <c r="A6" s="32">
        <v>9.9999999999999978E-2</v>
      </c>
      <c r="B6" s="32">
        <v>87.085190354440471</v>
      </c>
      <c r="C6" s="8"/>
    </row>
    <row r="7" spans="1:3" s="7" customFormat="1" x14ac:dyDescent="0.25">
      <c r="A7" s="32">
        <v>0.2</v>
      </c>
      <c r="B7" s="32">
        <v>112.64699646145999</v>
      </c>
      <c r="C7" s="8"/>
    </row>
    <row r="8" spans="1:3" s="7" customFormat="1" x14ac:dyDescent="0.25">
      <c r="A8" s="32">
        <v>0.3</v>
      </c>
      <c r="B8" s="32">
        <v>127.34196662249207</v>
      </c>
      <c r="C8" s="8"/>
    </row>
    <row r="9" spans="1:3" x14ac:dyDescent="0.25">
      <c r="A9" s="32">
        <v>0.4</v>
      </c>
      <c r="B9" s="32">
        <v>138.91297608656191</v>
      </c>
      <c r="C9" s="8"/>
    </row>
    <row r="10" spans="1:3" x14ac:dyDescent="0.25">
      <c r="A10" s="32">
        <v>0.49999999999999994</v>
      </c>
      <c r="B10" s="32">
        <v>148.48419351250718</v>
      </c>
      <c r="C10" s="8"/>
    </row>
    <row r="11" spans="1:3" x14ac:dyDescent="0.25">
      <c r="A11" s="32">
        <v>0.60000000000000009</v>
      </c>
      <c r="B11" s="32">
        <v>157.17530575596788</v>
      </c>
      <c r="C11" s="8"/>
    </row>
    <row r="12" spans="1:3" x14ac:dyDescent="0.25">
      <c r="A12" s="32">
        <v>0.7</v>
      </c>
      <c r="B12" s="32">
        <v>164.78661792674788</v>
      </c>
      <c r="C12" s="8"/>
    </row>
    <row r="13" spans="1:3" x14ac:dyDescent="0.25">
      <c r="A13" s="32">
        <v>0.8</v>
      </c>
      <c r="B13" s="32">
        <v>171.37186073363483</v>
      </c>
      <c r="C13" s="8"/>
    </row>
    <row r="14" spans="1:3" x14ac:dyDescent="0.25">
      <c r="A14" s="32">
        <v>0.90000000000000013</v>
      </c>
      <c r="B14" s="32">
        <v>178.14539912481544</v>
      </c>
      <c r="C14" s="8"/>
    </row>
    <row r="15" spans="1:3" x14ac:dyDescent="0.25">
      <c r="A15" s="32">
        <v>1</v>
      </c>
      <c r="B15" s="32">
        <v>184.45115822767855</v>
      </c>
      <c r="C15" s="8"/>
    </row>
    <row r="16" spans="1:3" x14ac:dyDescent="0.25">
      <c r="A16" s="32">
        <v>1.1000000000000001</v>
      </c>
      <c r="B16" s="32">
        <v>189.83718893342501</v>
      </c>
      <c r="C16" s="8"/>
    </row>
    <row r="17" spans="1:3" x14ac:dyDescent="0.25">
      <c r="A17" s="32">
        <v>1.2</v>
      </c>
      <c r="B17" s="32">
        <v>195.56420210966976</v>
      </c>
      <c r="C17" s="8"/>
    </row>
    <row r="18" spans="1:3" x14ac:dyDescent="0.25">
      <c r="A18" s="32">
        <v>1.3</v>
      </c>
      <c r="B18" s="32">
        <v>200.77658078235075</v>
      </c>
      <c r="C18" s="8"/>
    </row>
    <row r="19" spans="1:3" x14ac:dyDescent="0.25">
      <c r="A19" s="32">
        <v>1.4000000000000001</v>
      </c>
      <c r="B19" s="32">
        <v>205.32520313598863</v>
      </c>
      <c r="C19" s="8"/>
    </row>
    <row r="20" spans="1:3" x14ac:dyDescent="0.25">
      <c r="A20" s="32">
        <v>1.5</v>
      </c>
      <c r="B20" s="32">
        <v>210.01470563327419</v>
      </c>
      <c r="C20" s="8"/>
    </row>
    <row r="21" spans="1:3" x14ac:dyDescent="0.25">
      <c r="A21" s="32">
        <v>1.6</v>
      </c>
      <c r="B21" s="32">
        <v>214.49382694860597</v>
      </c>
      <c r="C21" s="8"/>
    </row>
    <row r="22" spans="1:3" x14ac:dyDescent="0.25">
      <c r="A22" s="32">
        <v>1.7000000000000002</v>
      </c>
      <c r="B22" s="32">
        <v>218.66305067916738</v>
      </c>
      <c r="C22" s="8"/>
    </row>
    <row r="23" spans="1:3" x14ac:dyDescent="0.25">
      <c r="A23" s="32">
        <v>1.8000000000000003</v>
      </c>
      <c r="B23" s="32">
        <v>222.32324216016187</v>
      </c>
      <c r="C23" s="8"/>
    </row>
    <row r="24" spans="1:3" x14ac:dyDescent="0.25">
      <c r="A24" s="32">
        <v>1.9000000000000004</v>
      </c>
      <c r="B24" s="32">
        <v>226.2253580750743</v>
      </c>
      <c r="C24" s="8"/>
    </row>
    <row r="25" spans="1:3" x14ac:dyDescent="0.25">
      <c r="A25" s="32">
        <v>2</v>
      </c>
      <c r="B25" s="32">
        <v>229.86952457864155</v>
      </c>
      <c r="C25" s="8"/>
    </row>
    <row r="26" spans="1:3" x14ac:dyDescent="0.25">
      <c r="A26" s="32">
        <v>2.0999999999999996</v>
      </c>
      <c r="B26" s="32">
        <v>233.35622573573423</v>
      </c>
      <c r="C26" s="8"/>
    </row>
    <row r="27" spans="1:3" x14ac:dyDescent="0.25">
      <c r="A27" s="32">
        <v>2.1999999999999997</v>
      </c>
      <c r="B27" s="32">
        <v>236.43687425763815</v>
      </c>
      <c r="C27" s="8"/>
    </row>
    <row r="28" spans="1:3" x14ac:dyDescent="0.25">
      <c r="A28" s="32">
        <v>2.2999999999999998</v>
      </c>
      <c r="B28" s="32">
        <v>239.56051626699053</v>
      </c>
      <c r="C28" s="8"/>
    </row>
    <row r="29" spans="1:3" x14ac:dyDescent="0.25">
      <c r="A29" s="32">
        <v>2.4</v>
      </c>
      <c r="B29" s="32">
        <v>242.57787715956661</v>
      </c>
      <c r="C29" s="8"/>
    </row>
    <row r="30" spans="1:3" x14ac:dyDescent="0.25">
      <c r="A30" s="32">
        <v>2.5</v>
      </c>
      <c r="B30" s="32">
        <v>245.53891885510185</v>
      </c>
      <c r="C30" s="8"/>
    </row>
    <row r="31" spans="1:3" x14ac:dyDescent="0.25">
      <c r="A31" s="32">
        <v>2.5999999999999996</v>
      </c>
      <c r="B31" s="32">
        <v>248.34458331701583</v>
      </c>
      <c r="C31" s="8"/>
    </row>
    <row r="32" spans="1:3" x14ac:dyDescent="0.25">
      <c r="A32" s="32">
        <v>2.6999999999999997</v>
      </c>
      <c r="B32" s="32">
        <v>250.99532891154456</v>
      </c>
      <c r="C32" s="8"/>
    </row>
    <row r="33" spans="1:3" x14ac:dyDescent="0.25">
      <c r="A33" s="32">
        <v>2.8</v>
      </c>
      <c r="B33" s="32">
        <v>253.64012466542223</v>
      </c>
      <c r="C33" s="8"/>
    </row>
    <row r="34" spans="1:3" x14ac:dyDescent="0.25">
      <c r="A34" s="32">
        <v>2.9</v>
      </c>
      <c r="B34" s="32">
        <v>256.08116008297867</v>
      </c>
      <c r="C34" s="8"/>
    </row>
    <row r="35" spans="1:3" x14ac:dyDescent="0.25">
      <c r="A35" s="32">
        <v>3</v>
      </c>
      <c r="B35" s="32">
        <v>258.51665309653828</v>
      </c>
      <c r="C35" s="8"/>
    </row>
    <row r="36" spans="1:3" x14ac:dyDescent="0.25">
      <c r="A36" s="32">
        <v>3.0999999999999996</v>
      </c>
      <c r="B36" s="32">
        <v>260.7985514118393</v>
      </c>
      <c r="C36" s="8"/>
    </row>
    <row r="37" spans="1:3" x14ac:dyDescent="0.25">
      <c r="A37" s="32">
        <v>3.2</v>
      </c>
      <c r="B37" s="32">
        <v>263.27241224132274</v>
      </c>
      <c r="C37" s="8"/>
    </row>
    <row r="38" spans="1:3" x14ac:dyDescent="0.25">
      <c r="A38" s="32">
        <v>3.3000000000000003</v>
      </c>
      <c r="B38" s="32">
        <v>265.34663756292292</v>
      </c>
      <c r="C38" s="8"/>
    </row>
    <row r="39" spans="1:3" x14ac:dyDescent="0.25">
      <c r="A39" s="32">
        <v>3.4000000000000004</v>
      </c>
      <c r="B39" s="32">
        <v>267.51442944668844</v>
      </c>
      <c r="C39" s="8"/>
    </row>
    <row r="40" spans="1:3" x14ac:dyDescent="0.25">
      <c r="A40" s="32">
        <v>3.5000000000000004</v>
      </c>
      <c r="B40" s="32">
        <v>269.52974708299473</v>
      </c>
      <c r="C40" s="8"/>
    </row>
    <row r="41" spans="1:3" x14ac:dyDescent="0.25">
      <c r="A41" s="32">
        <v>3.5999999999999996</v>
      </c>
      <c r="B41" s="32">
        <v>271.63852942230272</v>
      </c>
      <c r="C41" s="8"/>
    </row>
    <row r="42" spans="1:3" x14ac:dyDescent="0.25">
      <c r="A42" s="32">
        <v>3.6999999999999997</v>
      </c>
      <c r="B42" s="32">
        <v>273.54619976354263</v>
      </c>
      <c r="C42" s="8"/>
    </row>
    <row r="43" spans="1:3" x14ac:dyDescent="0.25">
      <c r="A43" s="32">
        <v>3.8</v>
      </c>
      <c r="B43" s="32">
        <v>275.35135777705858</v>
      </c>
      <c r="C43" s="8"/>
    </row>
    <row r="44" spans="1:3" x14ac:dyDescent="0.25">
      <c r="A44" s="32">
        <v>3.8999999999999995</v>
      </c>
      <c r="B44" s="32">
        <v>277.25008235273998</v>
      </c>
      <c r="C44" s="8"/>
    </row>
    <row r="45" spans="1:3" x14ac:dyDescent="0.25">
      <c r="A45" s="32">
        <v>4</v>
      </c>
      <c r="B45" s="32">
        <v>278.85092872495329</v>
      </c>
      <c r="C45" s="8"/>
    </row>
    <row r="46" spans="1:3" x14ac:dyDescent="0.25">
      <c r="A46" s="32">
        <v>4.0999999999999996</v>
      </c>
      <c r="B46" s="32">
        <v>280.83859419127549</v>
      </c>
      <c r="C46" s="8"/>
    </row>
    <row r="47" spans="1:3" x14ac:dyDescent="0.25">
      <c r="A47" s="32">
        <v>4.2</v>
      </c>
      <c r="B47" s="32">
        <v>282.5287888907838</v>
      </c>
      <c r="C47" s="8"/>
    </row>
    <row r="48" spans="1:3" x14ac:dyDescent="0.25">
      <c r="A48" s="32">
        <v>4.3</v>
      </c>
      <c r="B48" s="32">
        <v>283.97116916572315</v>
      </c>
      <c r="C48" s="8"/>
    </row>
    <row r="49" spans="1:3" x14ac:dyDescent="0.25">
      <c r="A49" s="32">
        <v>4.3999999999999995</v>
      </c>
      <c r="B49" s="32">
        <v>285.507319721155</v>
      </c>
      <c r="C49" s="8"/>
    </row>
    <row r="50" spans="1:3" x14ac:dyDescent="0.25">
      <c r="A50" s="32">
        <v>4.5</v>
      </c>
      <c r="B50" s="32">
        <v>287.08829722897974</v>
      </c>
      <c r="C50" s="8"/>
    </row>
    <row r="51" spans="1:3" x14ac:dyDescent="0.25">
      <c r="A51" s="32">
        <v>4.5999999999999996</v>
      </c>
      <c r="B51" s="32">
        <v>288.76253572147903</v>
      </c>
      <c r="C51" s="8"/>
    </row>
    <row r="52" spans="1:3" x14ac:dyDescent="0.25">
      <c r="A52" s="32">
        <v>4.7</v>
      </c>
      <c r="B52" s="32">
        <v>290.18997838104514</v>
      </c>
      <c r="C52" s="8"/>
    </row>
    <row r="53" spans="1:3" x14ac:dyDescent="0.25">
      <c r="A53" s="32">
        <v>4.8</v>
      </c>
      <c r="B53" s="32">
        <v>291.85623877004008</v>
      </c>
      <c r="C53" s="8"/>
    </row>
    <row r="54" spans="1:3" x14ac:dyDescent="0.25">
      <c r="A54" s="32">
        <v>4.8999999999999995</v>
      </c>
      <c r="B54" s="32">
        <v>293.22777858963775</v>
      </c>
      <c r="C54" s="8"/>
    </row>
    <row r="55" spans="1:3" x14ac:dyDescent="0.25">
      <c r="A55" s="32">
        <v>5</v>
      </c>
      <c r="B55" s="32">
        <v>294.64419629121022</v>
      </c>
      <c r="C55" s="8"/>
    </row>
    <row r="56" spans="1:3" x14ac:dyDescent="0.25">
      <c r="A56" s="32">
        <v>5.0999999999999996</v>
      </c>
      <c r="B56" s="32">
        <v>296.15367125913008</v>
      </c>
      <c r="C56" s="8"/>
    </row>
    <row r="57" spans="1:3" x14ac:dyDescent="0.25">
      <c r="A57" s="32">
        <v>5.2</v>
      </c>
      <c r="B57" s="32">
        <v>297.5627729417613</v>
      </c>
      <c r="C57" s="8"/>
    </row>
    <row r="58" spans="1:3" x14ac:dyDescent="0.25">
      <c r="A58" s="32">
        <v>5.3</v>
      </c>
      <c r="B58" s="32">
        <v>298.72711597473068</v>
      </c>
      <c r="C58" s="8"/>
    </row>
    <row r="59" spans="1:3" x14ac:dyDescent="0.25">
      <c r="A59" s="32">
        <v>5.3999999999999995</v>
      </c>
      <c r="B59" s="32">
        <v>300.12925814549317</v>
      </c>
      <c r="C59" s="8"/>
    </row>
    <row r="60" spans="1:3" x14ac:dyDescent="0.25">
      <c r="A60" s="32">
        <v>5.5</v>
      </c>
      <c r="B60" s="32">
        <v>301.43153632678479</v>
      </c>
      <c r="C60" s="8"/>
    </row>
    <row r="61" spans="1:3" x14ac:dyDescent="0.25">
      <c r="A61" s="32">
        <v>5.6</v>
      </c>
      <c r="B61" s="32">
        <v>302.73041114651477</v>
      </c>
      <c r="C61" s="8"/>
    </row>
    <row r="62" spans="1:3" x14ac:dyDescent="0.25">
      <c r="A62" s="32">
        <v>5.7</v>
      </c>
      <c r="B62" s="32">
        <v>304.02588260468309</v>
      </c>
      <c r="C62" s="8"/>
    </row>
    <row r="63" spans="1:3" x14ac:dyDescent="0.25">
      <c r="A63" s="32">
        <v>5.8</v>
      </c>
      <c r="B63" s="32">
        <v>305.17402370315278</v>
      </c>
      <c r="C63" s="8"/>
    </row>
    <row r="64" spans="1:3" x14ac:dyDescent="0.25">
      <c r="A64" s="32">
        <v>5.8999999999999995</v>
      </c>
      <c r="B64" s="32">
        <v>306.55869069987074</v>
      </c>
      <c r="C64" s="8"/>
    </row>
    <row r="65" spans="1:3" x14ac:dyDescent="0.25">
      <c r="A65" s="32">
        <v>6</v>
      </c>
      <c r="B65" s="32">
        <v>307.74825538917162</v>
      </c>
      <c r="C65" s="8"/>
    </row>
    <row r="66" spans="1:3" x14ac:dyDescent="0.25">
      <c r="A66" s="32">
        <v>6.1</v>
      </c>
      <c r="B66" s="32">
        <v>308.83897468063759</v>
      </c>
      <c r="C66" s="8"/>
    </row>
    <row r="67" spans="1:3" x14ac:dyDescent="0.25">
      <c r="A67" s="32">
        <v>6.2</v>
      </c>
      <c r="B67" s="32">
        <v>309.87892609947767</v>
      </c>
      <c r="C67" s="8"/>
    </row>
    <row r="68" spans="1:3" x14ac:dyDescent="0.25">
      <c r="A68" s="32">
        <v>6.3</v>
      </c>
      <c r="B68" s="32">
        <v>311.10686752512066</v>
      </c>
      <c r="C68" s="8"/>
    </row>
    <row r="69" spans="1:3" x14ac:dyDescent="0.25">
      <c r="A69" s="32">
        <v>6.4</v>
      </c>
      <c r="B69" s="32">
        <v>312.28383735981066</v>
      </c>
      <c r="C69" s="8"/>
    </row>
    <row r="70" spans="1:3" x14ac:dyDescent="0.25">
      <c r="A70" s="32">
        <v>6.5</v>
      </c>
      <c r="B70" s="32">
        <v>313.17189259742764</v>
      </c>
      <c r="C70" s="8"/>
    </row>
    <row r="71" spans="1:3" x14ac:dyDescent="0.25">
      <c r="A71" s="32">
        <v>6.6000000000000005</v>
      </c>
      <c r="B71" s="32">
        <v>314.43790518192179</v>
      </c>
      <c r="C71" s="8"/>
    </row>
    <row r="72" spans="1:3" x14ac:dyDescent="0.25">
      <c r="A72" s="32">
        <v>6.7</v>
      </c>
      <c r="B72" s="32">
        <v>315.22534140675936</v>
      </c>
      <c r="C72" s="8"/>
    </row>
    <row r="73" spans="1:3" x14ac:dyDescent="0.25">
      <c r="A73" s="32">
        <v>6.8000000000000007</v>
      </c>
      <c r="B73" s="32">
        <v>316.34265745326496</v>
      </c>
      <c r="C73" s="8"/>
    </row>
    <row r="74" spans="1:3" x14ac:dyDescent="0.25">
      <c r="A74" s="32">
        <v>6.8999999999999995</v>
      </c>
      <c r="B74" s="32">
        <v>317.36204483440781</v>
      </c>
      <c r="C74" s="8"/>
    </row>
    <row r="75" spans="1:3" x14ac:dyDescent="0.25">
      <c r="A75" s="32">
        <v>7.0000000000000009</v>
      </c>
      <c r="B75" s="32">
        <v>318.47326717193516</v>
      </c>
      <c r="C75" s="8"/>
    </row>
    <row r="76" spans="1:3" x14ac:dyDescent="0.25">
      <c r="A76" s="32">
        <v>7.1</v>
      </c>
      <c r="B76" s="32">
        <v>319.34482381797983</v>
      </c>
      <c r="C76" s="8"/>
    </row>
    <row r="77" spans="1:3" x14ac:dyDescent="0.25">
      <c r="A77" s="32">
        <v>7.2000000000000011</v>
      </c>
      <c r="B77" s="32">
        <v>320.26105462767197</v>
      </c>
      <c r="C77" s="8"/>
    </row>
    <row r="78" spans="1:3" x14ac:dyDescent="0.25">
      <c r="A78" s="32">
        <v>7.3</v>
      </c>
      <c r="B78" s="32">
        <v>321.22180681226627</v>
      </c>
      <c r="C78" s="8"/>
    </row>
    <row r="79" spans="1:3" x14ac:dyDescent="0.25">
      <c r="A79" s="32">
        <v>7.3999999999999995</v>
      </c>
      <c r="B79" s="32">
        <v>322.13260599754341</v>
      </c>
      <c r="C79" s="8"/>
    </row>
    <row r="80" spans="1:3" x14ac:dyDescent="0.25">
      <c r="A80" s="32">
        <v>7.5</v>
      </c>
      <c r="B80" s="32">
        <v>322.85227538278298</v>
      </c>
      <c r="C80" s="8"/>
    </row>
    <row r="81" spans="1:3" x14ac:dyDescent="0.25">
      <c r="A81" s="32">
        <v>7.6</v>
      </c>
      <c r="B81" s="32">
        <v>323.85201545870086</v>
      </c>
      <c r="C81" s="8"/>
    </row>
    <row r="82" spans="1:3" x14ac:dyDescent="0.25">
      <c r="A82" s="32">
        <v>7.7</v>
      </c>
      <c r="B82" s="32">
        <v>324.80185346488327</v>
      </c>
      <c r="C82" s="8"/>
    </row>
    <row r="83" spans="1:3" x14ac:dyDescent="0.25">
      <c r="A83" s="32">
        <v>7.8</v>
      </c>
      <c r="B83" s="32">
        <v>325.56107096684616</v>
      </c>
      <c r="C83" s="8"/>
    </row>
    <row r="84" spans="1:3" x14ac:dyDescent="0.25">
      <c r="A84" s="32">
        <v>7.9</v>
      </c>
      <c r="B84" s="32">
        <v>326.45862213336716</v>
      </c>
      <c r="C84" s="8"/>
    </row>
    <row r="85" spans="1:3" x14ac:dyDescent="0.25">
      <c r="A85" s="32">
        <v>7.9999999999999991</v>
      </c>
      <c r="B85" s="32">
        <v>327.11920687624053</v>
      </c>
      <c r="C85" s="8"/>
    </row>
    <row r="86" spans="1:3" x14ac:dyDescent="0.25">
      <c r="A86" s="32">
        <v>8.1000000000000014</v>
      </c>
      <c r="B86" s="32">
        <v>328.05843628150177</v>
      </c>
      <c r="C86" s="8"/>
    </row>
    <row r="87" spans="1:3" x14ac:dyDescent="0.25">
      <c r="A87" s="32">
        <v>8.2000000000000011</v>
      </c>
      <c r="B87" s="32">
        <v>328.85461341193468</v>
      </c>
      <c r="C87" s="8"/>
    </row>
    <row r="88" spans="1:3" x14ac:dyDescent="0.25">
      <c r="A88" s="32">
        <v>8.3000000000000007</v>
      </c>
      <c r="B88" s="32">
        <v>329.6016014867775</v>
      </c>
      <c r="C88" s="8"/>
    </row>
    <row r="89" spans="1:3" x14ac:dyDescent="0.25">
      <c r="A89" s="32">
        <v>8.4</v>
      </c>
      <c r="B89" s="32">
        <v>330.25290179785605</v>
      </c>
      <c r="C89" s="8"/>
    </row>
    <row r="90" spans="1:3" x14ac:dyDescent="0.25">
      <c r="A90" s="32">
        <v>8.5</v>
      </c>
      <c r="B90" s="32">
        <v>331.18162446135983</v>
      </c>
      <c r="C90" s="8"/>
    </row>
    <row r="91" spans="1:3" x14ac:dyDescent="0.25">
      <c r="A91" s="32">
        <v>8.6000000000000014</v>
      </c>
      <c r="B91" s="32">
        <v>331.68860817848355</v>
      </c>
      <c r="C91" s="8"/>
    </row>
    <row r="92" spans="1:3" x14ac:dyDescent="0.25">
      <c r="A92" s="32">
        <v>8.7000000000000011</v>
      </c>
      <c r="B92" s="32">
        <v>332.37971125419438</v>
      </c>
      <c r="C92" s="8"/>
    </row>
    <row r="93" spans="1:3" x14ac:dyDescent="0.25">
      <c r="A93" s="32">
        <v>8.8000000000000007</v>
      </c>
      <c r="B93" s="32">
        <v>333.20787475491863</v>
      </c>
      <c r="C93" s="8"/>
    </row>
    <row r="94" spans="1:3" x14ac:dyDescent="0.25">
      <c r="A94" s="32">
        <v>8.9</v>
      </c>
      <c r="B94" s="32">
        <v>333.84786237134921</v>
      </c>
      <c r="C94" s="8"/>
    </row>
    <row r="95" spans="1:3" x14ac:dyDescent="0.25">
      <c r="A95" s="32">
        <v>9</v>
      </c>
      <c r="B95" s="32">
        <v>334.62470669446617</v>
      </c>
      <c r="C95" s="8"/>
    </row>
    <row r="96" spans="1:3" x14ac:dyDescent="0.25">
      <c r="A96" s="32">
        <v>9.1000000000000014</v>
      </c>
      <c r="B96" s="32">
        <v>335.07499945956772</v>
      </c>
      <c r="C96" s="8"/>
    </row>
    <row r="97" spans="1:3" x14ac:dyDescent="0.25">
      <c r="A97" s="32">
        <v>9.2000000000000011</v>
      </c>
      <c r="B97" s="32">
        <v>335.8472270315782</v>
      </c>
      <c r="C97" s="8"/>
    </row>
    <row r="98" spans="1:3" x14ac:dyDescent="0.25">
      <c r="A98" s="32">
        <v>9.3000000000000007</v>
      </c>
      <c r="B98" s="32">
        <v>336.43219545176731</v>
      </c>
      <c r="C98" s="8"/>
    </row>
    <row r="99" spans="1:3" x14ac:dyDescent="0.25">
      <c r="A99" s="32">
        <v>9.4</v>
      </c>
      <c r="B99" s="32">
        <v>337.19965348392611</v>
      </c>
      <c r="C99" s="8"/>
    </row>
    <row r="100" spans="1:3" x14ac:dyDescent="0.25">
      <c r="A100" s="32">
        <v>9.5</v>
      </c>
      <c r="B100" s="32">
        <v>337.82635107243709</v>
      </c>
      <c r="C100" s="8"/>
    </row>
    <row r="101" spans="1:3" x14ac:dyDescent="0.25">
      <c r="A101" s="32">
        <v>9.6000000000000014</v>
      </c>
      <c r="B101" s="32">
        <v>338.31274658353658</v>
      </c>
      <c r="C101" s="8"/>
    </row>
    <row r="102" spans="1:3" x14ac:dyDescent="0.25">
      <c r="A102" s="32">
        <v>9.7000000000000011</v>
      </c>
      <c r="B102" s="32">
        <v>339.11919250701879</v>
      </c>
      <c r="C102" s="8"/>
    </row>
    <row r="103" spans="1:3" x14ac:dyDescent="0.25">
      <c r="A103" s="32">
        <v>9.8000000000000007</v>
      </c>
      <c r="B103" s="32">
        <v>339.60148056282981</v>
      </c>
      <c r="C103" s="8"/>
    </row>
    <row r="104" spans="1:3" x14ac:dyDescent="0.25">
      <c r="A104" s="32">
        <v>9.9</v>
      </c>
      <c r="B104" s="32">
        <v>340.4031060168785</v>
      </c>
      <c r="C104" s="8"/>
    </row>
    <row r="105" spans="1:3" x14ac:dyDescent="0.25">
      <c r="A105" s="32">
        <v>10</v>
      </c>
      <c r="B105" s="32">
        <v>341.15630635906371</v>
      </c>
      <c r="C105" s="8"/>
    </row>
    <row r="106" spans="1:3" x14ac:dyDescent="0.25">
      <c r="A106" s="32">
        <v>10.100000000000001</v>
      </c>
      <c r="B106" s="32">
        <v>341.67809160201597</v>
      </c>
      <c r="C106" s="8"/>
    </row>
    <row r="107" spans="1:3" x14ac:dyDescent="0.25">
      <c r="A107" s="32">
        <v>10.200000000000001</v>
      </c>
      <c r="B107" s="32">
        <v>342.33510380503748</v>
      </c>
      <c r="C107" s="8"/>
    </row>
    <row r="108" spans="1:3" x14ac:dyDescent="0.25">
      <c r="A108" s="32">
        <v>10.3</v>
      </c>
      <c r="B108" s="32">
        <v>343.03551693216167</v>
      </c>
      <c r="C108" s="8"/>
    </row>
    <row r="109" spans="1:3" x14ac:dyDescent="0.25">
      <c r="A109" s="32">
        <v>10.4</v>
      </c>
      <c r="B109" s="32">
        <v>343.64227947879345</v>
      </c>
      <c r="C109" s="8"/>
    </row>
    <row r="110" spans="1:3" x14ac:dyDescent="0.25">
      <c r="A110" s="32">
        <v>10.5</v>
      </c>
      <c r="B110" s="32">
        <v>344.20127899812485</v>
      </c>
      <c r="C110" s="8"/>
    </row>
    <row r="111" spans="1:3" x14ac:dyDescent="0.25">
      <c r="A111" s="32">
        <v>10.600000000000001</v>
      </c>
      <c r="B111" s="32">
        <v>344.75819932502117</v>
      </c>
      <c r="C111" s="8"/>
    </row>
    <row r="112" spans="1:3" x14ac:dyDescent="0.25">
      <c r="A112" s="32">
        <v>10.700000000000001</v>
      </c>
      <c r="B112" s="32">
        <v>345.49496092563408</v>
      </c>
      <c r="C112" s="8"/>
    </row>
    <row r="113" spans="1:3" x14ac:dyDescent="0.25">
      <c r="A113" s="32">
        <v>10.8</v>
      </c>
      <c r="B113" s="32">
        <v>345.95666077542057</v>
      </c>
      <c r="C113" s="8"/>
    </row>
    <row r="114" spans="1:3" x14ac:dyDescent="0.25">
      <c r="A114" s="32">
        <v>10.9</v>
      </c>
      <c r="B114" s="32">
        <v>346.50724166584786</v>
      </c>
      <c r="C114" s="8"/>
    </row>
    <row r="115" spans="1:3" x14ac:dyDescent="0.25">
      <c r="A115" s="32">
        <v>11</v>
      </c>
      <c r="B115" s="32">
        <v>347.14639801942508</v>
      </c>
      <c r="C115" s="8"/>
    </row>
    <row r="116" spans="1:3" x14ac:dyDescent="0.25">
      <c r="A116" s="32">
        <v>11.100000000000001</v>
      </c>
      <c r="B116" s="32">
        <v>347.69271866581846</v>
      </c>
      <c r="C116" s="8"/>
    </row>
    <row r="117" spans="1:3" x14ac:dyDescent="0.25">
      <c r="A117" s="32">
        <v>11.200000000000001</v>
      </c>
      <c r="B117" s="32">
        <v>348.23696011977671</v>
      </c>
      <c r="C117" s="8"/>
    </row>
    <row r="118" spans="1:3" x14ac:dyDescent="0.25">
      <c r="A118" s="32">
        <v>11.3</v>
      </c>
      <c r="B118" s="32">
        <v>348.68877330320532</v>
      </c>
      <c r="C118" s="8"/>
    </row>
    <row r="119" spans="1:3" x14ac:dyDescent="0.25">
      <c r="A119" s="32">
        <v>11.4</v>
      </c>
      <c r="B119" s="32">
        <v>349.13871101252596</v>
      </c>
      <c r="C119" s="8"/>
    </row>
    <row r="120" spans="1:3" x14ac:dyDescent="0.25">
      <c r="A120" s="32">
        <v>11.5</v>
      </c>
      <c r="B120" s="32">
        <v>349.63184592762229</v>
      </c>
      <c r="C120" s="8"/>
    </row>
    <row r="121" spans="1:3" x14ac:dyDescent="0.25">
      <c r="A121" s="32">
        <v>11.600000000000001</v>
      </c>
      <c r="B121" s="32">
        <v>350.12300350944702</v>
      </c>
      <c r="C121" s="8"/>
    </row>
    <row r="122" spans="1:3" x14ac:dyDescent="0.25">
      <c r="A122" s="32">
        <v>11.700000000000001</v>
      </c>
      <c r="B122" s="32">
        <v>350.52224211655994</v>
      </c>
      <c r="C122" s="8"/>
    </row>
    <row r="123" spans="1:3" x14ac:dyDescent="0.25">
      <c r="A123" s="32">
        <v>11.8</v>
      </c>
      <c r="B123" s="32">
        <v>351.05446678214332</v>
      </c>
      <c r="C123" s="8"/>
    </row>
    <row r="124" spans="1:3" x14ac:dyDescent="0.25">
      <c r="A124" s="32">
        <v>11.9</v>
      </c>
      <c r="B124" s="32">
        <v>351.45000537062214</v>
      </c>
      <c r="C124" s="8"/>
    </row>
    <row r="125" spans="1:3" x14ac:dyDescent="0.25">
      <c r="A125" s="32">
        <v>12</v>
      </c>
      <c r="B125" s="32">
        <v>351.79895231218194</v>
      </c>
      <c r="C125" s="8"/>
    </row>
    <row r="126" spans="1:3" x14ac:dyDescent="0.25">
      <c r="A126" s="32">
        <v>12.100000000000001</v>
      </c>
      <c r="B126" s="32">
        <v>352.01192619078216</v>
      </c>
      <c r="C126" s="8"/>
    </row>
    <row r="127" spans="1:3" x14ac:dyDescent="0.25">
      <c r="A127" s="32">
        <v>12.200000000000001</v>
      </c>
      <c r="B127" s="32">
        <v>352.5812632735811</v>
      </c>
      <c r="C127" s="8"/>
    </row>
    <row r="128" spans="1:3" x14ac:dyDescent="0.25">
      <c r="A128" s="32">
        <v>12.3</v>
      </c>
      <c r="B128" s="32">
        <v>352.88042784540539</v>
      </c>
      <c r="C128" s="8"/>
    </row>
    <row r="129" spans="1:3" x14ac:dyDescent="0.25">
      <c r="A129" s="32">
        <v>12.4</v>
      </c>
      <c r="B129" s="32">
        <v>353.26725114790759</v>
      </c>
      <c r="C129" s="8"/>
    </row>
    <row r="130" spans="1:3" x14ac:dyDescent="0.25">
      <c r="A130" s="32">
        <v>12.5</v>
      </c>
      <c r="B130" s="32">
        <v>353.47404729920231</v>
      </c>
      <c r="C130" s="8"/>
    </row>
    <row r="131" spans="1:3" x14ac:dyDescent="0.25">
      <c r="A131" s="32">
        <v>12.6</v>
      </c>
      <c r="B131" s="32">
        <v>353.99106445359456</v>
      </c>
      <c r="C131" s="8"/>
    </row>
    <row r="132" spans="1:3" x14ac:dyDescent="0.25">
      <c r="A132" s="32">
        <v>12.7</v>
      </c>
      <c r="B132" s="32">
        <v>354.28369479104089</v>
      </c>
      <c r="C132" s="8"/>
    </row>
    <row r="133" spans="1:3" x14ac:dyDescent="0.25">
      <c r="A133" s="32">
        <v>12.8</v>
      </c>
      <c r="B133" s="32">
        <v>354.66357642251069</v>
      </c>
      <c r="C133" s="8"/>
    </row>
    <row r="134" spans="1:3" x14ac:dyDescent="0.25">
      <c r="A134" s="32">
        <v>12.9</v>
      </c>
      <c r="B134" s="32">
        <v>354.86424577608182</v>
      </c>
      <c r="C134" s="8"/>
    </row>
    <row r="135" spans="1:3" x14ac:dyDescent="0.25">
      <c r="A135" s="32">
        <v>13</v>
      </c>
      <c r="B135" s="32">
        <v>355.2850926321467</v>
      </c>
      <c r="C135" s="8"/>
    </row>
    <row r="136" spans="1:3" x14ac:dyDescent="0.25">
      <c r="A136" s="32">
        <v>13.100000000000001</v>
      </c>
      <c r="B136" s="32">
        <v>355.39425936807862</v>
      </c>
      <c r="C136" s="8"/>
    </row>
    <row r="137" spans="1:3" x14ac:dyDescent="0.25">
      <c r="A137" s="32">
        <v>13.200000000000001</v>
      </c>
      <c r="B137" s="32">
        <v>355.90012553698648</v>
      </c>
      <c r="C137" s="8"/>
    </row>
    <row r="138" spans="1:3" x14ac:dyDescent="0.25">
      <c r="A138" s="32">
        <v>13.3</v>
      </c>
      <c r="B138" s="32">
        <v>356.09482088157927</v>
      </c>
      <c r="C138" s="8"/>
    </row>
    <row r="139" spans="1:3" x14ac:dyDescent="0.25">
      <c r="A139" s="32">
        <v>13.4</v>
      </c>
      <c r="B139" s="32">
        <v>356.42046510137084</v>
      </c>
      <c r="C139" s="8"/>
    </row>
    <row r="140" spans="1:3" x14ac:dyDescent="0.25">
      <c r="A140" s="32">
        <v>13.5</v>
      </c>
      <c r="B140" s="32">
        <v>356.65632938888587</v>
      </c>
      <c r="C140" s="8"/>
    </row>
    <row r="141" spans="1:3" x14ac:dyDescent="0.25">
      <c r="A141" s="32">
        <v>13.600000000000001</v>
      </c>
      <c r="B141" s="32">
        <v>356.714713004283</v>
      </c>
      <c r="C141" s="8"/>
    </row>
    <row r="142" spans="1:3" x14ac:dyDescent="0.25">
      <c r="A142" s="32">
        <v>13.700000000000001</v>
      </c>
      <c r="B142" s="32">
        <v>357.25551053880764</v>
      </c>
      <c r="C142" s="8"/>
    </row>
    <row r="143" spans="1:3" x14ac:dyDescent="0.25">
      <c r="A143" s="32">
        <v>13.8</v>
      </c>
      <c r="B143" s="32">
        <v>357.31121272720645</v>
      </c>
      <c r="C143" s="8"/>
    </row>
    <row r="144" spans="1:3" x14ac:dyDescent="0.25">
      <c r="A144" s="32">
        <v>13.900000000000002</v>
      </c>
      <c r="B144" s="32">
        <v>357.80435801401256</v>
      </c>
      <c r="C144" s="8"/>
    </row>
    <row r="145" spans="1:3" x14ac:dyDescent="0.25">
      <c r="A145" s="32">
        <v>14.000000000000002</v>
      </c>
      <c r="B145" s="32">
        <v>357.98882802601139</v>
      </c>
      <c r="C145" s="8"/>
    </row>
    <row r="146" spans="1:3" x14ac:dyDescent="0.25">
      <c r="A146" s="32">
        <v>14.100000000000001</v>
      </c>
      <c r="B146" s="32">
        <v>358.43442292426266</v>
      </c>
      <c r="C146" s="8"/>
    </row>
    <row r="147" spans="1:3" x14ac:dyDescent="0.25">
      <c r="A147" s="32">
        <v>14.200000000000001</v>
      </c>
      <c r="B147" s="32">
        <v>358.4847622586646</v>
      </c>
      <c r="C147" s="8"/>
    </row>
    <row r="148" spans="1:3" x14ac:dyDescent="0.25">
      <c r="A148" s="32">
        <v>14.3</v>
      </c>
      <c r="B148" s="32">
        <v>358.75227425023473</v>
      </c>
      <c r="C148" s="8"/>
    </row>
    <row r="149" spans="1:3" x14ac:dyDescent="0.25">
      <c r="A149" s="32">
        <v>14.400000000000002</v>
      </c>
      <c r="B149" s="32">
        <v>359.01821634518762</v>
      </c>
      <c r="C149" s="8"/>
    </row>
    <row r="150" spans="1:3" x14ac:dyDescent="0.25">
      <c r="A150" s="32">
        <v>14.499999999999998</v>
      </c>
      <c r="B150" s="32">
        <v>359.36967812838321</v>
      </c>
      <c r="C150" s="8"/>
    </row>
    <row r="151" spans="1:3" x14ac:dyDescent="0.25">
      <c r="A151" s="32">
        <v>14.600000000000001</v>
      </c>
      <c r="B151" s="32">
        <v>359.67587243378608</v>
      </c>
      <c r="C151" s="8"/>
    </row>
    <row r="152" spans="1:3" x14ac:dyDescent="0.25">
      <c r="A152" s="32">
        <v>14.700000000000003</v>
      </c>
      <c r="B152" s="32">
        <v>359.93695205014188</v>
      </c>
      <c r="C152" s="8"/>
    </row>
    <row r="153" spans="1:3" x14ac:dyDescent="0.25">
      <c r="A153" s="32">
        <v>14.800000000000002</v>
      </c>
      <c r="B153" s="32">
        <v>360.15306976619576</v>
      </c>
      <c r="C153" s="8"/>
    </row>
    <row r="154" spans="1:3" x14ac:dyDescent="0.25">
      <c r="A154" s="32">
        <v>14.899999999999999</v>
      </c>
      <c r="B154" s="32">
        <v>360.45440159300159</v>
      </c>
      <c r="C154" s="8"/>
    </row>
    <row r="155" spans="1:3" x14ac:dyDescent="0.25">
      <c r="A155" s="32">
        <v>15</v>
      </c>
      <c r="B155" s="32">
        <v>360.66748137498456</v>
      </c>
      <c r="C155" s="8"/>
    </row>
    <row r="156" spans="1:3" x14ac:dyDescent="0.25">
      <c r="A156" s="32">
        <v>15.100000000000001</v>
      </c>
      <c r="B156" s="32">
        <v>361.05204997927069</v>
      </c>
      <c r="C156" s="8"/>
    </row>
    <row r="157" spans="1:3" x14ac:dyDescent="0.25">
      <c r="A157" s="32">
        <v>15.200000000000003</v>
      </c>
      <c r="B157" s="32">
        <v>361.30517825337654</v>
      </c>
      <c r="C157" s="8"/>
    </row>
    <row r="158" spans="1:3" x14ac:dyDescent="0.25">
      <c r="A158" s="32">
        <v>15.299999999999999</v>
      </c>
      <c r="B158" s="32">
        <v>361.3410498519869</v>
      </c>
      <c r="C158" s="8"/>
    </row>
    <row r="159" spans="1:3" x14ac:dyDescent="0.25">
      <c r="A159" s="32">
        <v>15.4</v>
      </c>
      <c r="B159" s="32">
        <v>361.89289796412419</v>
      </c>
      <c r="C159" s="8"/>
    </row>
    <row r="160" spans="1:3" x14ac:dyDescent="0.25">
      <c r="A160" s="32">
        <v>15.5</v>
      </c>
      <c r="B160" s="32">
        <v>362.09817919260257</v>
      </c>
      <c r="C160" s="8"/>
    </row>
    <row r="161" spans="1:3" x14ac:dyDescent="0.25">
      <c r="A161" s="32">
        <v>15.600000000000003</v>
      </c>
      <c r="B161" s="32">
        <v>362.30199238362741</v>
      </c>
      <c r="C161" s="8"/>
    </row>
    <row r="162" spans="1:3" x14ac:dyDescent="0.25">
      <c r="A162" s="32">
        <v>15.7</v>
      </c>
      <c r="B162" s="32">
        <v>362.54727117464694</v>
      </c>
      <c r="C162" s="8"/>
    </row>
    <row r="163" spans="1:3" x14ac:dyDescent="0.25">
      <c r="A163" s="32">
        <v>15.8</v>
      </c>
      <c r="B163" s="32">
        <v>362.79098006904917</v>
      </c>
      <c r="C163" s="8"/>
    </row>
    <row r="164" spans="1:3" x14ac:dyDescent="0.25">
      <c r="A164" s="32">
        <v>15.900000000000002</v>
      </c>
      <c r="B164" s="32">
        <v>362.99028728854938</v>
      </c>
      <c r="C164" s="8"/>
    </row>
    <row r="165" spans="1:3" x14ac:dyDescent="0.25">
      <c r="A165" s="32">
        <v>16</v>
      </c>
      <c r="B165" s="32">
        <v>363.27368816800202</v>
      </c>
      <c r="C165" s="8"/>
    </row>
    <row r="166" spans="1:3" x14ac:dyDescent="0.25">
      <c r="A166" s="32">
        <v>16.100000000000001</v>
      </c>
      <c r="B166" s="32">
        <v>363.51268737255259</v>
      </c>
      <c r="C166" s="8"/>
    </row>
    <row r="167" spans="1:3" x14ac:dyDescent="0.25">
      <c r="A167" s="32">
        <v>16.2</v>
      </c>
      <c r="B167" s="32">
        <v>363.5794007223277</v>
      </c>
      <c r="C167" s="8"/>
    </row>
    <row r="168" spans="1:3" x14ac:dyDescent="0.25">
      <c r="A168" s="32">
        <v>16.3</v>
      </c>
      <c r="B168" s="32">
        <v>363.73020773205542</v>
      </c>
      <c r="C168" s="8"/>
    </row>
    <row r="169" spans="1:3" x14ac:dyDescent="0.25">
      <c r="A169" s="32">
        <v>16.400000000000002</v>
      </c>
      <c r="B169" s="32">
        <v>363.92222569386894</v>
      </c>
      <c r="C169" s="8"/>
    </row>
    <row r="170" spans="1:3" x14ac:dyDescent="0.25">
      <c r="A170" s="32">
        <v>16.5</v>
      </c>
      <c r="B170" s="32">
        <v>363.94267081505205</v>
      </c>
      <c r="C170" s="8"/>
    </row>
    <row r="171" spans="1:3" x14ac:dyDescent="0.25">
      <c r="A171" s="32">
        <v>16.600000000000001</v>
      </c>
      <c r="B171" s="32">
        <v>364.34433277634724</v>
      </c>
      <c r="C171" s="8"/>
    </row>
    <row r="172" spans="1:3" x14ac:dyDescent="0.25">
      <c r="A172" s="32">
        <v>16.7</v>
      </c>
      <c r="B172" s="32">
        <v>364.23492530480394</v>
      </c>
      <c r="C172" s="8"/>
    </row>
    <row r="173" spans="1:3" x14ac:dyDescent="0.25">
      <c r="A173" s="32">
        <v>16.8</v>
      </c>
      <c r="B173" s="32">
        <v>364.46375010634222</v>
      </c>
      <c r="C173" s="8"/>
    </row>
    <row r="174" spans="1:3" x14ac:dyDescent="0.25">
      <c r="A174" s="32">
        <v>16.900000000000002</v>
      </c>
      <c r="B174" s="32">
        <v>364.73332749373026</v>
      </c>
      <c r="C174" s="8"/>
    </row>
    <row r="175" spans="1:3" x14ac:dyDescent="0.25">
      <c r="A175" s="32">
        <v>17</v>
      </c>
      <c r="B175" s="32">
        <v>364.62078914937064</v>
      </c>
      <c r="C175" s="8"/>
    </row>
    <row r="176" spans="1:3" x14ac:dyDescent="0.25">
      <c r="A176" s="32">
        <v>17.100000000000001</v>
      </c>
      <c r="B176" s="32">
        <v>364.76081952152288</v>
      </c>
      <c r="C176" s="8"/>
    </row>
    <row r="177" spans="1:3" x14ac:dyDescent="0.25">
      <c r="A177" s="32">
        <v>17.2</v>
      </c>
      <c r="B177" s="32">
        <v>364.89948371538503</v>
      </c>
      <c r="C177" s="8"/>
    </row>
    <row r="178" spans="1:3" x14ac:dyDescent="0.25">
      <c r="A178" s="32">
        <v>17.3</v>
      </c>
      <c r="B178" s="32">
        <v>365.07890049509683</v>
      </c>
      <c r="C178" s="8"/>
    </row>
    <row r="179" spans="1:3" x14ac:dyDescent="0.25">
      <c r="A179" s="32">
        <v>17.400000000000002</v>
      </c>
      <c r="B179" s="32">
        <v>365.08857789912281</v>
      </c>
      <c r="C179" s="8"/>
    </row>
    <row r="180" spans="1:3" x14ac:dyDescent="0.25">
      <c r="A180" s="32">
        <v>17.5</v>
      </c>
      <c r="B180" s="32">
        <v>365.30727922723077</v>
      </c>
      <c r="C180" s="8"/>
    </row>
    <row r="181" spans="1:3" x14ac:dyDescent="0.25">
      <c r="A181" s="32">
        <v>17.600000000000001</v>
      </c>
      <c r="B181" s="32">
        <v>365.23064883096009</v>
      </c>
      <c r="C181" s="8"/>
    </row>
    <row r="182" spans="1:3" x14ac:dyDescent="0.25">
      <c r="A182" s="32">
        <v>17.7</v>
      </c>
      <c r="B182" s="32">
        <v>365.57231201034404</v>
      </c>
      <c r="C182" s="8"/>
    </row>
    <row r="183" spans="1:3" x14ac:dyDescent="0.25">
      <c r="A183" s="32">
        <v>17.8</v>
      </c>
      <c r="B183" s="32">
        <v>365.74464325069636</v>
      </c>
      <c r="C183" s="8"/>
    </row>
    <row r="184" spans="1:3" x14ac:dyDescent="0.25">
      <c r="A184" s="32">
        <v>17.900000000000002</v>
      </c>
      <c r="B184" s="32">
        <v>365.79006689364792</v>
      </c>
      <c r="C184" s="8"/>
    </row>
    <row r="185" spans="1:3" x14ac:dyDescent="0.25">
      <c r="A185" s="32">
        <v>18</v>
      </c>
      <c r="B185" s="32">
        <v>365.75080356250174</v>
      </c>
      <c r="C185" s="8"/>
    </row>
    <row r="186" spans="1:3" x14ac:dyDescent="0.25">
      <c r="A186" s="32">
        <v>18.100000000000001</v>
      </c>
      <c r="B186" s="32">
        <v>365.87742679966181</v>
      </c>
      <c r="C186" s="8"/>
    </row>
    <row r="187" spans="1:3" x14ac:dyDescent="0.25">
      <c r="A187" s="32">
        <v>18.2</v>
      </c>
      <c r="B187" s="32">
        <v>366.04434425643564</v>
      </c>
      <c r="C187" s="8"/>
    </row>
    <row r="188" spans="1:3" x14ac:dyDescent="0.25">
      <c r="A188" s="32">
        <v>18.3</v>
      </c>
      <c r="B188" s="32">
        <v>365.91852739750203</v>
      </c>
      <c r="C188" s="8"/>
    </row>
    <row r="189" spans="1:3" x14ac:dyDescent="0.25">
      <c r="A189" s="32">
        <v>18.400000000000002</v>
      </c>
      <c r="B189" s="32">
        <v>366.08286528644101</v>
      </c>
      <c r="C189" s="8"/>
    </row>
    <row r="190" spans="1:3" x14ac:dyDescent="0.25">
      <c r="A190" s="32">
        <v>18.5</v>
      </c>
      <c r="B190" s="32">
        <v>365.83065904634253</v>
      </c>
      <c r="C190" s="8"/>
    </row>
    <row r="191" spans="1:3" x14ac:dyDescent="0.25">
      <c r="A191" s="32">
        <v>18.600000000000001</v>
      </c>
      <c r="B191" s="32">
        <v>366.15839687449835</v>
      </c>
      <c r="C191" s="8"/>
    </row>
    <row r="192" spans="1:3" x14ac:dyDescent="0.25">
      <c r="A192" s="32">
        <v>18.7</v>
      </c>
      <c r="B192" s="32">
        <v>366.11160747859299</v>
      </c>
      <c r="C192" s="8"/>
    </row>
    <row r="193" spans="1:3" x14ac:dyDescent="0.25">
      <c r="A193" s="32">
        <v>18.8</v>
      </c>
      <c r="B193" s="32">
        <v>366.22927862270399</v>
      </c>
      <c r="C193" s="8"/>
    </row>
    <row r="194" spans="1:3" x14ac:dyDescent="0.25">
      <c r="A194" s="32">
        <v>18.900000000000002</v>
      </c>
      <c r="B194" s="32">
        <v>366.18036802519987</v>
      </c>
      <c r="C194" s="8"/>
    </row>
    <row r="195" spans="1:3" x14ac:dyDescent="0.25">
      <c r="A195" s="32">
        <v>19</v>
      </c>
      <c r="B195" s="32">
        <v>366.37801645355654</v>
      </c>
      <c r="C195" s="8"/>
    </row>
    <row r="196" spans="1:3" x14ac:dyDescent="0.25">
      <c r="A196" s="32">
        <v>19.100000000000001</v>
      </c>
      <c r="B196" s="32">
        <v>366.28568076362251</v>
      </c>
      <c r="C196" s="8"/>
    </row>
    <row r="197" spans="1:3" x14ac:dyDescent="0.25">
      <c r="A197" s="32">
        <v>19.2</v>
      </c>
      <c r="B197" s="32">
        <v>366.52169700790313</v>
      </c>
      <c r="C197" s="8"/>
    </row>
    <row r="198" spans="1:3" x14ac:dyDescent="0.25">
      <c r="A198" s="32">
        <v>19.3</v>
      </c>
      <c r="B198" s="32">
        <v>366.55054063388246</v>
      </c>
      <c r="C198" s="8"/>
    </row>
    <row r="199" spans="1:3" x14ac:dyDescent="0.25">
      <c r="A199" s="32">
        <v>19.400000000000002</v>
      </c>
      <c r="B199" s="32">
        <v>366.49612331405444</v>
      </c>
      <c r="C199" s="8"/>
    </row>
    <row r="200" spans="1:3" x14ac:dyDescent="0.25">
      <c r="A200" s="32">
        <v>19.5</v>
      </c>
      <c r="B200" s="32">
        <v>366.56374219261198</v>
      </c>
      <c r="C200" s="8"/>
    </row>
    <row r="201" spans="1:3" x14ac:dyDescent="0.25">
      <c r="A201" s="32">
        <v>19.600000000000001</v>
      </c>
      <c r="B201" s="32">
        <v>366.71199151956051</v>
      </c>
      <c r="C201" s="8"/>
    </row>
    <row r="202" spans="1:3" x14ac:dyDescent="0.25">
      <c r="A202" s="32">
        <v>19.7</v>
      </c>
      <c r="B202" s="32">
        <v>366.77697990070146</v>
      </c>
      <c r="C202" s="8"/>
    </row>
    <row r="203" spans="1:3" x14ac:dyDescent="0.25">
      <c r="A203" s="32">
        <v>19.8</v>
      </c>
      <c r="B203" s="32">
        <v>367.0040860610963</v>
      </c>
      <c r="C203" s="8"/>
    </row>
    <row r="204" spans="1:3" x14ac:dyDescent="0.25">
      <c r="A204" s="32"/>
      <c r="B204" s="32"/>
      <c r="C204" s="8"/>
    </row>
    <row r="205" spans="1:3" x14ac:dyDescent="0.25">
      <c r="A205" s="32"/>
      <c r="B205" s="32"/>
      <c r="C205" s="8"/>
    </row>
    <row r="206" spans="1:3" x14ac:dyDescent="0.25">
      <c r="A206" s="32"/>
      <c r="B206" s="32"/>
      <c r="C206" s="8"/>
    </row>
    <row r="207" spans="1:3" x14ac:dyDescent="0.25">
      <c r="A207" s="32"/>
      <c r="B207" s="32"/>
      <c r="C207" s="8"/>
    </row>
    <row r="208" spans="1:3" x14ac:dyDescent="0.25">
      <c r="A208" s="32"/>
      <c r="B208" s="32"/>
      <c r="C208" s="8"/>
    </row>
    <row r="209" spans="1:3" x14ac:dyDescent="0.25">
      <c r="A209" s="32"/>
      <c r="B209" s="32"/>
      <c r="C209" s="8"/>
    </row>
    <row r="210" spans="1:3" x14ac:dyDescent="0.25">
      <c r="A210" s="32"/>
      <c r="B210" s="32"/>
      <c r="C210" s="8"/>
    </row>
    <row r="211" spans="1:3" x14ac:dyDescent="0.25">
      <c r="A211" s="32"/>
      <c r="B211" s="32"/>
      <c r="C211" s="8"/>
    </row>
    <row r="212" spans="1:3" x14ac:dyDescent="0.25">
      <c r="A212" s="32"/>
      <c r="B212" s="32"/>
      <c r="C212" s="8"/>
    </row>
    <row r="213" spans="1:3" x14ac:dyDescent="0.25">
      <c r="A213" s="32"/>
      <c r="B213" s="32"/>
      <c r="C213" s="8"/>
    </row>
    <row r="214" spans="1:3" x14ac:dyDescent="0.25">
      <c r="A214" s="32"/>
      <c r="B214" s="32"/>
      <c r="C214" s="8"/>
    </row>
    <row r="215" spans="1:3" x14ac:dyDescent="0.25">
      <c r="A215" s="32"/>
      <c r="B215" s="32"/>
      <c r="C215" s="8"/>
    </row>
    <row r="216" spans="1:3" x14ac:dyDescent="0.25">
      <c r="A216" s="32"/>
      <c r="B216" s="32"/>
      <c r="C216" s="8"/>
    </row>
    <row r="217" spans="1:3" x14ac:dyDescent="0.25">
      <c r="A217" s="32"/>
      <c r="B217" s="32"/>
      <c r="C217" s="8"/>
    </row>
    <row r="218" spans="1:3" x14ac:dyDescent="0.25">
      <c r="A218" s="32"/>
      <c r="B218" s="32"/>
      <c r="C218" s="8"/>
    </row>
    <row r="219" spans="1:3" x14ac:dyDescent="0.25">
      <c r="A219" s="32"/>
      <c r="B219" s="32"/>
      <c r="C219" s="8"/>
    </row>
    <row r="220" spans="1:3" x14ac:dyDescent="0.25">
      <c r="A220" s="32"/>
      <c r="B220" s="32"/>
      <c r="C220" s="8"/>
    </row>
    <row r="221" spans="1:3" x14ac:dyDescent="0.25">
      <c r="A221" s="32"/>
      <c r="B221" s="32"/>
      <c r="C221" s="8"/>
    </row>
    <row r="222" spans="1:3" x14ac:dyDescent="0.25">
      <c r="A222" s="32"/>
      <c r="B222" s="32"/>
      <c r="C222" s="8"/>
    </row>
    <row r="223" spans="1:3" x14ac:dyDescent="0.25">
      <c r="A223" s="32"/>
      <c r="B223" s="32"/>
      <c r="C223" s="8"/>
    </row>
    <row r="224" spans="1:3" x14ac:dyDescent="0.25">
      <c r="A224" s="32"/>
      <c r="B224" s="32"/>
      <c r="C224" s="8"/>
    </row>
    <row r="225" spans="1:3" x14ac:dyDescent="0.25">
      <c r="A225" s="32"/>
      <c r="B225" s="32"/>
      <c r="C225" s="8"/>
    </row>
    <row r="226" spans="1:3" x14ac:dyDescent="0.25">
      <c r="A226" s="32"/>
      <c r="B226" s="32"/>
      <c r="C226" s="8"/>
    </row>
    <row r="227" spans="1:3" x14ac:dyDescent="0.25">
      <c r="A227" s="32"/>
      <c r="B227" s="32"/>
      <c r="C227" s="8"/>
    </row>
    <row r="228" spans="1:3" x14ac:dyDescent="0.25">
      <c r="A228" s="32"/>
      <c r="B228" s="32"/>
      <c r="C228" s="8"/>
    </row>
    <row r="229" spans="1:3" x14ac:dyDescent="0.25">
      <c r="A229" s="32"/>
      <c r="B229" s="32"/>
      <c r="C229" s="8"/>
    </row>
    <row r="230" spans="1:3" x14ac:dyDescent="0.25">
      <c r="A230" s="32"/>
      <c r="B230" s="32"/>
      <c r="C230" s="8"/>
    </row>
    <row r="231" spans="1:3" x14ac:dyDescent="0.25">
      <c r="A231" s="32"/>
      <c r="B231" s="32"/>
      <c r="C231" s="8"/>
    </row>
    <row r="232" spans="1:3" x14ac:dyDescent="0.25">
      <c r="A232" s="32"/>
      <c r="B232" s="32"/>
      <c r="C232" s="8"/>
    </row>
    <row r="233" spans="1:3" x14ac:dyDescent="0.25">
      <c r="A233" s="32"/>
      <c r="B233" s="32"/>
      <c r="C233" s="8"/>
    </row>
    <row r="234" spans="1:3" x14ac:dyDescent="0.25">
      <c r="A234" s="32"/>
      <c r="B234" s="32"/>
      <c r="C234" s="8"/>
    </row>
    <row r="235" spans="1:3" x14ac:dyDescent="0.25">
      <c r="A235" s="32"/>
      <c r="B235" s="32"/>
      <c r="C235" s="8"/>
    </row>
    <row r="236" spans="1:3" x14ac:dyDescent="0.25">
      <c r="A236" s="32"/>
      <c r="B236" s="32"/>
      <c r="C236" s="8"/>
    </row>
    <row r="237" spans="1:3" x14ac:dyDescent="0.25">
      <c r="A237" s="32"/>
      <c r="B237" s="32"/>
      <c r="C237" s="8"/>
    </row>
    <row r="238" spans="1:3" x14ac:dyDescent="0.25">
      <c r="A238" s="32"/>
      <c r="B238" s="32"/>
      <c r="C238" s="8"/>
    </row>
    <row r="239" spans="1:3" x14ac:dyDescent="0.2">
      <c r="A239" s="34"/>
      <c r="B239" s="33"/>
      <c r="C239" s="8"/>
    </row>
    <row r="240" spans="1:3" x14ac:dyDescent="0.2">
      <c r="A240" s="34"/>
      <c r="B240" s="33"/>
      <c r="C240" s="8"/>
    </row>
    <row r="241" spans="1:3" x14ac:dyDescent="0.2">
      <c r="A241" s="34"/>
      <c r="B241" s="33"/>
      <c r="C241" s="8"/>
    </row>
    <row r="242" spans="1:3" x14ac:dyDescent="0.2">
      <c r="A242" s="34"/>
      <c r="B242" s="33"/>
      <c r="C242" s="8"/>
    </row>
    <row r="243" spans="1:3" x14ac:dyDescent="0.2">
      <c r="A243" s="34"/>
      <c r="B243" s="33"/>
      <c r="C243" s="8"/>
    </row>
    <row r="244" spans="1:3" x14ac:dyDescent="0.2">
      <c r="A244" s="34"/>
      <c r="B244" s="33"/>
      <c r="C244" s="8"/>
    </row>
    <row r="245" spans="1:3" x14ac:dyDescent="0.2">
      <c r="A245" s="34"/>
      <c r="B245" s="33"/>
      <c r="C245" s="8"/>
    </row>
    <row r="246" spans="1:3" x14ac:dyDescent="0.2">
      <c r="A246" s="34"/>
      <c r="B246" s="33"/>
      <c r="C246" s="8"/>
    </row>
    <row r="247" spans="1:3" x14ac:dyDescent="0.2">
      <c r="A247" s="34"/>
      <c r="B247" s="33"/>
      <c r="C247" s="8"/>
    </row>
    <row r="248" spans="1:3" x14ac:dyDescent="0.2">
      <c r="A248" s="34"/>
      <c r="B248" s="33"/>
      <c r="C248" s="8"/>
    </row>
    <row r="249" spans="1:3" x14ac:dyDescent="0.2">
      <c r="A249" s="34"/>
      <c r="B249" s="33"/>
      <c r="C249" s="8"/>
    </row>
    <row r="250" spans="1:3" x14ac:dyDescent="0.2">
      <c r="A250" s="34"/>
      <c r="B250" s="33"/>
      <c r="C250" s="8"/>
    </row>
    <row r="251" spans="1:3" x14ac:dyDescent="0.2">
      <c r="A251" s="34"/>
      <c r="B251" s="33"/>
      <c r="C251" s="8"/>
    </row>
    <row r="252" spans="1:3" x14ac:dyDescent="0.2">
      <c r="A252" s="34"/>
      <c r="B252" s="33"/>
      <c r="C252" s="8"/>
    </row>
    <row r="253" spans="1:3" x14ac:dyDescent="0.2">
      <c r="A253" s="34"/>
      <c r="B253" s="33"/>
      <c r="C253" s="8"/>
    </row>
    <row r="254" spans="1:3" x14ac:dyDescent="0.2">
      <c r="A254" s="34"/>
      <c r="B254" s="33"/>
      <c r="C254" s="8"/>
    </row>
    <row r="255" spans="1:3" x14ac:dyDescent="0.2">
      <c r="A255" s="34"/>
      <c r="B255" s="33"/>
      <c r="C255" s="8"/>
    </row>
    <row r="256" spans="1:3" x14ac:dyDescent="0.2">
      <c r="A256" s="34"/>
      <c r="B256" s="33"/>
      <c r="C256" s="8"/>
    </row>
    <row r="257" spans="1:3" x14ac:dyDescent="0.2">
      <c r="A257" s="34"/>
      <c r="B257" s="33"/>
      <c r="C257" s="8"/>
    </row>
    <row r="258" spans="1:3" x14ac:dyDescent="0.2">
      <c r="A258" s="34"/>
      <c r="B258" s="33"/>
      <c r="C258" s="8"/>
    </row>
    <row r="259" spans="1:3" x14ac:dyDescent="0.2">
      <c r="A259" s="34"/>
      <c r="B259" s="33"/>
      <c r="C259" s="8"/>
    </row>
    <row r="260" spans="1:3" x14ac:dyDescent="0.2">
      <c r="A260" s="34"/>
      <c r="B260" s="33"/>
      <c r="C260" s="8"/>
    </row>
    <row r="261" spans="1:3" x14ac:dyDescent="0.2">
      <c r="A261" s="34"/>
      <c r="B261" s="33"/>
      <c r="C261" s="8"/>
    </row>
    <row r="262" spans="1:3" x14ac:dyDescent="0.2">
      <c r="A262" s="34"/>
      <c r="B262" s="33"/>
      <c r="C262" s="8"/>
    </row>
    <row r="263" spans="1:3" x14ac:dyDescent="0.2">
      <c r="A263" s="34"/>
      <c r="B263" s="33"/>
      <c r="C263" s="8"/>
    </row>
    <row r="264" spans="1:3" x14ac:dyDescent="0.2">
      <c r="A264" s="34"/>
      <c r="B264" s="33"/>
      <c r="C264" s="8"/>
    </row>
    <row r="265" spans="1:3" x14ac:dyDescent="0.2">
      <c r="A265" s="34"/>
      <c r="B265" s="33"/>
      <c r="C265" s="8"/>
    </row>
    <row r="266" spans="1:3" x14ac:dyDescent="0.2">
      <c r="A266" s="34"/>
      <c r="B266" s="33"/>
      <c r="C266" s="8"/>
    </row>
    <row r="267" spans="1:3" x14ac:dyDescent="0.2">
      <c r="A267" s="34"/>
      <c r="B267" s="33"/>
      <c r="C267" s="8"/>
    </row>
    <row r="268" spans="1:3" x14ac:dyDescent="0.2">
      <c r="A268" s="34"/>
      <c r="B268" s="33"/>
      <c r="C268" s="8"/>
    </row>
    <row r="269" spans="1:3" x14ac:dyDescent="0.2">
      <c r="A269" s="34"/>
      <c r="B269" s="33"/>
      <c r="C269" s="8"/>
    </row>
    <row r="270" spans="1:3" x14ac:dyDescent="0.2">
      <c r="A270" s="34"/>
      <c r="B270" s="33"/>
      <c r="C270" s="8"/>
    </row>
    <row r="271" spans="1:3" x14ac:dyDescent="0.2">
      <c r="A271" s="34"/>
      <c r="B271" s="33"/>
      <c r="C271" s="8"/>
    </row>
    <row r="272" spans="1:3" x14ac:dyDescent="0.2">
      <c r="A272" s="34"/>
      <c r="B272" s="33"/>
      <c r="C272" s="8"/>
    </row>
    <row r="273" spans="1:3" x14ac:dyDescent="0.2">
      <c r="A273" s="34"/>
      <c r="B273" s="33"/>
      <c r="C273" s="8"/>
    </row>
    <row r="274" spans="1:3" x14ac:dyDescent="0.2">
      <c r="A274" s="34"/>
      <c r="B274" s="33"/>
      <c r="C274" s="8"/>
    </row>
    <row r="275" spans="1:3" x14ac:dyDescent="0.2">
      <c r="A275" s="34"/>
      <c r="B275" s="33"/>
      <c r="C275" s="8"/>
    </row>
    <row r="276" spans="1:3" x14ac:dyDescent="0.2">
      <c r="A276" s="34"/>
      <c r="B276" s="33"/>
      <c r="C276" s="8"/>
    </row>
    <row r="277" spans="1:3" x14ac:dyDescent="0.2">
      <c r="A277" s="34"/>
      <c r="B277" s="33"/>
      <c r="C277" s="8"/>
    </row>
    <row r="278" spans="1:3" x14ac:dyDescent="0.2">
      <c r="A278" s="34"/>
      <c r="B278" s="33"/>
      <c r="C278" s="8"/>
    </row>
    <row r="279" spans="1:3" x14ac:dyDescent="0.2">
      <c r="A279" s="34"/>
      <c r="B279" s="33"/>
      <c r="C279" s="8"/>
    </row>
    <row r="280" spans="1:3" x14ac:dyDescent="0.2">
      <c r="A280" s="34"/>
      <c r="B280" s="33"/>
      <c r="C280" s="8"/>
    </row>
    <row r="281" spans="1:3" x14ac:dyDescent="0.2">
      <c r="A281" s="34"/>
      <c r="B281" s="33"/>
      <c r="C281" s="8"/>
    </row>
    <row r="282" spans="1:3" x14ac:dyDescent="0.2">
      <c r="A282" s="34"/>
      <c r="B282" s="33"/>
      <c r="C282" s="8"/>
    </row>
    <row r="283" spans="1:3" x14ac:dyDescent="0.2">
      <c r="A283" s="34"/>
      <c r="B283" s="33"/>
      <c r="C283" s="8"/>
    </row>
    <row r="284" spans="1:3" x14ac:dyDescent="0.2">
      <c r="A284" s="34"/>
      <c r="B284" s="33"/>
      <c r="C284" s="8"/>
    </row>
    <row r="285" spans="1:3" x14ac:dyDescent="0.2">
      <c r="A285" s="34"/>
      <c r="B285" s="33"/>
      <c r="C285" s="8"/>
    </row>
    <row r="286" spans="1:3" x14ac:dyDescent="0.2">
      <c r="A286" s="34"/>
      <c r="B286" s="33"/>
      <c r="C286" s="8"/>
    </row>
    <row r="287" spans="1:3" x14ac:dyDescent="0.2">
      <c r="A287" s="34"/>
      <c r="B287" s="33"/>
      <c r="C287" s="8"/>
    </row>
    <row r="288" spans="1:3" x14ac:dyDescent="0.2">
      <c r="A288" s="34"/>
      <c r="B288" s="33"/>
      <c r="C288" s="8"/>
    </row>
    <row r="289" spans="1:3" x14ac:dyDescent="0.2">
      <c r="A289" s="34"/>
      <c r="B289" s="33"/>
      <c r="C289" s="8"/>
    </row>
    <row r="290" spans="1:3" x14ac:dyDescent="0.2">
      <c r="A290" s="34"/>
      <c r="B290" s="33"/>
      <c r="C290" s="8"/>
    </row>
    <row r="291" spans="1:3" x14ac:dyDescent="0.2">
      <c r="A291" s="34"/>
      <c r="B291" s="33"/>
      <c r="C291" s="8"/>
    </row>
    <row r="292" spans="1:3" x14ac:dyDescent="0.2">
      <c r="A292" s="34"/>
      <c r="B292" s="33"/>
      <c r="C292" s="8"/>
    </row>
    <row r="293" spans="1:3" x14ac:dyDescent="0.2">
      <c r="A293" s="34"/>
      <c r="B293" s="33"/>
      <c r="C293" s="8"/>
    </row>
    <row r="294" spans="1:3" x14ac:dyDescent="0.2">
      <c r="A294" s="34"/>
      <c r="B294" s="33"/>
      <c r="C294" s="8"/>
    </row>
    <row r="295" spans="1:3" x14ac:dyDescent="0.2">
      <c r="A295" s="34"/>
      <c r="B295" s="33"/>
      <c r="C295" s="8"/>
    </row>
    <row r="296" spans="1:3" x14ac:dyDescent="0.2">
      <c r="A296" s="34"/>
      <c r="B296" s="33"/>
      <c r="C296" s="8"/>
    </row>
    <row r="297" spans="1:3" x14ac:dyDescent="0.2">
      <c r="A297" s="34"/>
      <c r="B297" s="33"/>
      <c r="C297" s="8"/>
    </row>
    <row r="298" spans="1:3" x14ac:dyDescent="0.2">
      <c r="A298" s="34"/>
      <c r="B298" s="33"/>
      <c r="C298" s="8"/>
    </row>
    <row r="299" spans="1:3" x14ac:dyDescent="0.2">
      <c r="A299" s="34"/>
      <c r="B299" s="33"/>
      <c r="C299" s="8"/>
    </row>
    <row r="300" spans="1:3" x14ac:dyDescent="0.2">
      <c r="A300" s="34"/>
      <c r="B300" s="33"/>
      <c r="C300" s="8"/>
    </row>
    <row r="301" spans="1:3" x14ac:dyDescent="0.2">
      <c r="A301" s="34"/>
      <c r="B301" s="33"/>
      <c r="C301" s="8"/>
    </row>
    <row r="302" spans="1:3" x14ac:dyDescent="0.2">
      <c r="A302" s="34"/>
      <c r="B302" s="33"/>
      <c r="C302" s="8"/>
    </row>
    <row r="303" spans="1:3" x14ac:dyDescent="0.2">
      <c r="A303" s="34"/>
      <c r="B303" s="33"/>
      <c r="C303" s="8"/>
    </row>
    <row r="304" spans="1:3" x14ac:dyDescent="0.2">
      <c r="A304" s="34"/>
      <c r="B304" s="33"/>
      <c r="C304" s="8"/>
    </row>
    <row r="305" spans="1:3" x14ac:dyDescent="0.2">
      <c r="A305" s="34"/>
      <c r="B305" s="33"/>
      <c r="C305" s="8"/>
    </row>
    <row r="306" spans="1:3" x14ac:dyDescent="0.2">
      <c r="A306" s="34"/>
      <c r="B306" s="33"/>
      <c r="C306" s="8"/>
    </row>
    <row r="307" spans="1:3" x14ac:dyDescent="0.2">
      <c r="A307" s="34"/>
      <c r="B307" s="33"/>
      <c r="C307" s="8"/>
    </row>
    <row r="308" spans="1:3" x14ac:dyDescent="0.2">
      <c r="A308" s="34"/>
      <c r="B308" s="33"/>
      <c r="C308" s="8"/>
    </row>
    <row r="309" spans="1:3" x14ac:dyDescent="0.2">
      <c r="A309" s="34"/>
      <c r="B309" s="33"/>
      <c r="C309" s="8"/>
    </row>
    <row r="310" spans="1:3" x14ac:dyDescent="0.2">
      <c r="A310" s="34"/>
      <c r="B310" s="33"/>
      <c r="C310" s="8"/>
    </row>
    <row r="311" spans="1:3" x14ac:dyDescent="0.2">
      <c r="A311" s="34"/>
      <c r="B311" s="33"/>
      <c r="C311" s="8"/>
    </row>
    <row r="312" spans="1:3" x14ac:dyDescent="0.2">
      <c r="A312" s="34"/>
      <c r="B312" s="33"/>
      <c r="C312" s="8"/>
    </row>
    <row r="313" spans="1:3" x14ac:dyDescent="0.2">
      <c r="A313" s="34"/>
      <c r="B313" s="33"/>
      <c r="C313" s="8"/>
    </row>
    <row r="314" spans="1:3" x14ac:dyDescent="0.2">
      <c r="A314" s="34"/>
      <c r="B314" s="33"/>
      <c r="C314" s="8"/>
    </row>
    <row r="315" spans="1:3" x14ac:dyDescent="0.2">
      <c r="A315" s="34"/>
      <c r="B315" s="33"/>
      <c r="C315" s="8"/>
    </row>
    <row r="316" spans="1:3" x14ac:dyDescent="0.2">
      <c r="A316" s="34"/>
      <c r="B316" s="33"/>
      <c r="C316" s="8"/>
    </row>
    <row r="317" spans="1:3" x14ac:dyDescent="0.2">
      <c r="A317" s="34"/>
      <c r="B317" s="33"/>
      <c r="C317" s="8"/>
    </row>
    <row r="318" spans="1:3" x14ac:dyDescent="0.2">
      <c r="A318" s="34"/>
      <c r="B318" s="33"/>
      <c r="C318" s="8"/>
    </row>
    <row r="319" spans="1:3" x14ac:dyDescent="0.2">
      <c r="A319" s="34"/>
      <c r="B319" s="33"/>
      <c r="C319" s="8"/>
    </row>
    <row r="320" spans="1:3" x14ac:dyDescent="0.2">
      <c r="A320" s="34"/>
      <c r="B320" s="33"/>
      <c r="C320" s="8"/>
    </row>
    <row r="321" spans="1:3" x14ac:dyDescent="0.2">
      <c r="A321" s="34"/>
      <c r="B321" s="33"/>
      <c r="C321" s="8"/>
    </row>
    <row r="322" spans="1:3" x14ac:dyDescent="0.2">
      <c r="A322" s="34"/>
      <c r="B322" s="33"/>
      <c r="C322" s="8"/>
    </row>
    <row r="323" spans="1:3" x14ac:dyDescent="0.2">
      <c r="A323" s="34"/>
      <c r="B323" s="33"/>
      <c r="C323" s="8"/>
    </row>
    <row r="324" spans="1:3" x14ac:dyDescent="0.2">
      <c r="A324" s="34"/>
      <c r="B324" s="33"/>
      <c r="C324" s="8"/>
    </row>
    <row r="325" spans="1:3" x14ac:dyDescent="0.2">
      <c r="A325" s="34"/>
      <c r="B325" s="33"/>
      <c r="C325" s="8"/>
    </row>
    <row r="326" spans="1:3" x14ac:dyDescent="0.2">
      <c r="A326" s="34"/>
      <c r="B326" s="33"/>
      <c r="C326" s="8"/>
    </row>
    <row r="327" spans="1:3" x14ac:dyDescent="0.2">
      <c r="A327" s="34"/>
      <c r="B327" s="33"/>
      <c r="C327" s="8"/>
    </row>
    <row r="328" spans="1:3" x14ac:dyDescent="0.2">
      <c r="A328" s="34"/>
      <c r="B328" s="33"/>
      <c r="C328" s="8"/>
    </row>
    <row r="329" spans="1:3" x14ac:dyDescent="0.2">
      <c r="A329" s="34"/>
      <c r="B329" s="33"/>
      <c r="C329" s="8"/>
    </row>
    <row r="330" spans="1:3" x14ac:dyDescent="0.2">
      <c r="A330" s="34"/>
      <c r="B330" s="33"/>
      <c r="C330" s="8"/>
    </row>
    <row r="331" spans="1:3" x14ac:dyDescent="0.2">
      <c r="A331" s="34"/>
      <c r="B331" s="33"/>
      <c r="C331" s="8"/>
    </row>
    <row r="332" spans="1:3" x14ac:dyDescent="0.2">
      <c r="A332" s="34"/>
      <c r="B332" s="33"/>
      <c r="C332" s="8"/>
    </row>
    <row r="333" spans="1:3" x14ac:dyDescent="0.2">
      <c r="A333" s="34"/>
      <c r="B333" s="33"/>
      <c r="C333" s="8"/>
    </row>
    <row r="334" spans="1:3" x14ac:dyDescent="0.2">
      <c r="A334" s="34"/>
      <c r="B334" s="33"/>
      <c r="C334" s="8"/>
    </row>
    <row r="335" spans="1:3" x14ac:dyDescent="0.2">
      <c r="A335" s="34"/>
      <c r="B335" s="33"/>
      <c r="C335" s="8"/>
    </row>
    <row r="336" spans="1:3" x14ac:dyDescent="0.2">
      <c r="A336" s="34"/>
      <c r="B336" s="33"/>
      <c r="C336" s="8"/>
    </row>
    <row r="337" spans="1:3" x14ac:dyDescent="0.2">
      <c r="A337" s="34"/>
      <c r="B337" s="33"/>
      <c r="C337" s="8"/>
    </row>
    <row r="338" spans="1:3" x14ac:dyDescent="0.2">
      <c r="A338" s="34"/>
      <c r="B338" s="33"/>
      <c r="C338" s="8"/>
    </row>
    <row r="339" spans="1:3" x14ac:dyDescent="0.2">
      <c r="A339" s="34"/>
      <c r="B339" s="33"/>
      <c r="C339" s="8"/>
    </row>
    <row r="340" spans="1:3" x14ac:dyDescent="0.2">
      <c r="A340" s="34"/>
      <c r="B340" s="33"/>
      <c r="C340" s="8"/>
    </row>
    <row r="341" spans="1:3" x14ac:dyDescent="0.2">
      <c r="A341" s="34"/>
      <c r="B341" s="33"/>
      <c r="C341" s="8"/>
    </row>
    <row r="342" spans="1:3" x14ac:dyDescent="0.2">
      <c r="A342" s="34"/>
      <c r="B342" s="33"/>
      <c r="C342" s="8"/>
    </row>
    <row r="343" spans="1:3" x14ac:dyDescent="0.2">
      <c r="A343" s="34"/>
      <c r="B343" s="33"/>
      <c r="C343" s="8"/>
    </row>
    <row r="344" spans="1:3" x14ac:dyDescent="0.2">
      <c r="A344" s="34"/>
      <c r="B344" s="33"/>
      <c r="C344" s="8"/>
    </row>
    <row r="345" spans="1:3" x14ac:dyDescent="0.2">
      <c r="A345" s="34"/>
      <c r="B345" s="33"/>
      <c r="C345" s="8"/>
    </row>
    <row r="346" spans="1:3" x14ac:dyDescent="0.2">
      <c r="A346" s="34"/>
      <c r="B346" s="33"/>
      <c r="C346" s="8"/>
    </row>
    <row r="347" spans="1:3" x14ac:dyDescent="0.2">
      <c r="A347" s="34"/>
      <c r="B347" s="33"/>
      <c r="C347" s="8"/>
    </row>
    <row r="348" spans="1:3" x14ac:dyDescent="0.2">
      <c r="A348" s="34"/>
      <c r="B348" s="33"/>
      <c r="C348" s="8"/>
    </row>
    <row r="349" spans="1:3" x14ac:dyDescent="0.2">
      <c r="A349" s="34"/>
      <c r="B349" s="33"/>
      <c r="C349" s="8"/>
    </row>
    <row r="350" spans="1:3" x14ac:dyDescent="0.2">
      <c r="A350" s="34"/>
      <c r="B350" s="33"/>
      <c r="C350" s="8"/>
    </row>
    <row r="351" spans="1:3" x14ac:dyDescent="0.2">
      <c r="A351" s="34"/>
      <c r="B351" s="33"/>
      <c r="C351" s="8"/>
    </row>
    <row r="352" spans="1:3" x14ac:dyDescent="0.2">
      <c r="A352" s="34"/>
      <c r="B352" s="33"/>
      <c r="C352" s="8"/>
    </row>
    <row r="353" spans="1:3" x14ac:dyDescent="0.2">
      <c r="A353" s="34"/>
      <c r="B353" s="33"/>
      <c r="C353" s="8"/>
    </row>
    <row r="354" spans="1:3" x14ac:dyDescent="0.2">
      <c r="A354" s="34"/>
      <c r="B354" s="33"/>
      <c r="C354" s="8"/>
    </row>
    <row r="355" spans="1:3" x14ac:dyDescent="0.2">
      <c r="A355" s="34"/>
      <c r="B355" s="33"/>
      <c r="C355" s="8"/>
    </row>
    <row r="356" spans="1:3" x14ac:dyDescent="0.2">
      <c r="A356" s="34"/>
      <c r="B356" s="33"/>
      <c r="C356" s="8"/>
    </row>
    <row r="357" spans="1:3" x14ac:dyDescent="0.2">
      <c r="A357" s="34"/>
      <c r="B357" s="33"/>
      <c r="C357" s="8"/>
    </row>
    <row r="358" spans="1:3" x14ac:dyDescent="0.2">
      <c r="A358" s="34"/>
      <c r="B358" s="33"/>
      <c r="C358" s="8"/>
    </row>
    <row r="359" spans="1:3" x14ac:dyDescent="0.2">
      <c r="A359" s="34"/>
      <c r="B359" s="33"/>
      <c r="C359" s="8"/>
    </row>
    <row r="360" spans="1:3" x14ac:dyDescent="0.2">
      <c r="A360" s="34"/>
      <c r="B360" s="33"/>
      <c r="C360" s="8"/>
    </row>
    <row r="361" spans="1:3" x14ac:dyDescent="0.2">
      <c r="A361" s="34"/>
      <c r="B361" s="33"/>
      <c r="C361" s="8"/>
    </row>
    <row r="362" spans="1:3" x14ac:dyDescent="0.2">
      <c r="A362" s="34"/>
      <c r="B362" s="33"/>
      <c r="C362" s="8"/>
    </row>
    <row r="363" spans="1:3" x14ac:dyDescent="0.2">
      <c r="A363" s="34"/>
      <c r="B363" s="33"/>
      <c r="C363" s="8"/>
    </row>
    <row r="364" spans="1:3" x14ac:dyDescent="0.2">
      <c r="A364" s="34"/>
      <c r="B364" s="33"/>
      <c r="C364" s="8"/>
    </row>
    <row r="365" spans="1:3" x14ac:dyDescent="0.2">
      <c r="A365" s="34"/>
      <c r="B365" s="33"/>
      <c r="C365" s="8"/>
    </row>
    <row r="366" spans="1:3" x14ac:dyDescent="0.2">
      <c r="A366" s="34"/>
      <c r="B366" s="33"/>
      <c r="C366" s="8"/>
    </row>
    <row r="367" spans="1:3" x14ac:dyDescent="0.2">
      <c r="A367" s="34"/>
      <c r="B367" s="33"/>
      <c r="C367" s="8"/>
    </row>
    <row r="368" spans="1:3" x14ac:dyDescent="0.2">
      <c r="A368" s="34"/>
      <c r="B368" s="33"/>
      <c r="C368" s="8"/>
    </row>
    <row r="369" spans="1:3" x14ac:dyDescent="0.2">
      <c r="A369" s="34"/>
      <c r="B369" s="33"/>
      <c r="C369" s="8"/>
    </row>
    <row r="370" spans="1:3" x14ac:dyDescent="0.2">
      <c r="A370" s="34"/>
      <c r="B370" s="33"/>
      <c r="C370" s="8"/>
    </row>
    <row r="371" spans="1:3" x14ac:dyDescent="0.2">
      <c r="A371" s="34"/>
      <c r="B371" s="33"/>
      <c r="C371" s="8"/>
    </row>
    <row r="372" spans="1:3" x14ac:dyDescent="0.2">
      <c r="A372" s="34"/>
      <c r="B372" s="33"/>
      <c r="C372" s="8"/>
    </row>
    <row r="373" spans="1:3" x14ac:dyDescent="0.2">
      <c r="A373" s="34"/>
      <c r="B373" s="33"/>
      <c r="C373" s="8"/>
    </row>
    <row r="374" spans="1:3" x14ac:dyDescent="0.2">
      <c r="A374" s="34"/>
      <c r="B374" s="33"/>
      <c r="C374" s="8"/>
    </row>
    <row r="375" spans="1:3" x14ac:dyDescent="0.2">
      <c r="A375" s="34"/>
      <c r="B375" s="33"/>
      <c r="C375" s="8"/>
    </row>
    <row r="376" spans="1:3" x14ac:dyDescent="0.2">
      <c r="A376" s="34"/>
      <c r="B376" s="33"/>
      <c r="C376" s="8"/>
    </row>
    <row r="377" spans="1:3" x14ac:dyDescent="0.2">
      <c r="A377" s="34"/>
      <c r="B377" s="33"/>
      <c r="C377" s="8"/>
    </row>
    <row r="378" spans="1:3" x14ac:dyDescent="0.2">
      <c r="A378" s="34"/>
      <c r="B378" s="33"/>
      <c r="C378" s="8"/>
    </row>
    <row r="379" spans="1:3" x14ac:dyDescent="0.2">
      <c r="A379" s="34"/>
      <c r="B379" s="33"/>
      <c r="C379" s="8"/>
    </row>
    <row r="380" spans="1:3" x14ac:dyDescent="0.2">
      <c r="A380" s="34"/>
      <c r="B380" s="33"/>
      <c r="C380" s="8"/>
    </row>
    <row r="381" spans="1:3" x14ac:dyDescent="0.2">
      <c r="A381" s="34"/>
      <c r="B381" s="33"/>
      <c r="C381" s="8"/>
    </row>
    <row r="382" spans="1:3" x14ac:dyDescent="0.2">
      <c r="A382" s="34"/>
      <c r="B382" s="33"/>
      <c r="C382" s="8"/>
    </row>
    <row r="383" spans="1:3" x14ac:dyDescent="0.2">
      <c r="A383" s="34"/>
      <c r="B383" s="33"/>
      <c r="C383" s="8"/>
    </row>
    <row r="384" spans="1:3" x14ac:dyDescent="0.2">
      <c r="A384" s="34"/>
      <c r="B384" s="33"/>
      <c r="C384" s="8"/>
    </row>
    <row r="385" spans="1:3" x14ac:dyDescent="0.2">
      <c r="A385" s="34"/>
      <c r="B385" s="33"/>
      <c r="C385" s="8"/>
    </row>
    <row r="386" spans="1:3" x14ac:dyDescent="0.2">
      <c r="A386" s="34"/>
      <c r="B386" s="33"/>
      <c r="C386" s="8"/>
    </row>
    <row r="387" spans="1:3" x14ac:dyDescent="0.2">
      <c r="A387" s="34"/>
      <c r="B387" s="33"/>
      <c r="C387" s="8"/>
    </row>
    <row r="388" spans="1:3" x14ac:dyDescent="0.2">
      <c r="A388" s="34"/>
      <c r="B388" s="33"/>
      <c r="C388" s="8"/>
    </row>
    <row r="389" spans="1:3" x14ac:dyDescent="0.2">
      <c r="A389" s="34"/>
      <c r="B389" s="33"/>
      <c r="C389" s="8"/>
    </row>
    <row r="390" spans="1:3" x14ac:dyDescent="0.2">
      <c r="A390" s="34"/>
      <c r="B390" s="33"/>
      <c r="C390" s="8"/>
    </row>
    <row r="391" spans="1:3" x14ac:dyDescent="0.2">
      <c r="A391" s="34"/>
      <c r="B391" s="33"/>
      <c r="C391" s="8"/>
    </row>
    <row r="392" spans="1:3" x14ac:dyDescent="0.2">
      <c r="A392" s="34"/>
      <c r="B392" s="33"/>
      <c r="C392" s="8"/>
    </row>
    <row r="393" spans="1:3" x14ac:dyDescent="0.2">
      <c r="A393" s="34"/>
      <c r="B393" s="33"/>
      <c r="C393" s="8"/>
    </row>
    <row r="394" spans="1:3" x14ac:dyDescent="0.2">
      <c r="A394" s="34"/>
      <c r="B394" s="33"/>
      <c r="C394" s="8"/>
    </row>
    <row r="395" spans="1:3" x14ac:dyDescent="0.2">
      <c r="A395" s="34"/>
      <c r="B395" s="33"/>
      <c r="C395" s="8"/>
    </row>
    <row r="396" spans="1:3" x14ac:dyDescent="0.2">
      <c r="A396" s="34"/>
      <c r="B396" s="33"/>
      <c r="C396" s="8"/>
    </row>
    <row r="397" spans="1:3" x14ac:dyDescent="0.2">
      <c r="A397" s="34"/>
      <c r="B397" s="33"/>
      <c r="C397" s="8"/>
    </row>
    <row r="398" spans="1:3" x14ac:dyDescent="0.2">
      <c r="A398" s="34"/>
      <c r="B398" s="33"/>
      <c r="C398" s="8"/>
    </row>
    <row r="399" spans="1:3" x14ac:dyDescent="0.2">
      <c r="A399" s="34"/>
      <c r="B399" s="33"/>
      <c r="C399" s="8"/>
    </row>
    <row r="400" spans="1:3" x14ac:dyDescent="0.2">
      <c r="A400" s="34"/>
      <c r="B400" s="33"/>
      <c r="C400" s="8"/>
    </row>
    <row r="401" spans="1:3" x14ac:dyDescent="0.2">
      <c r="A401" s="34"/>
      <c r="B401" s="33"/>
      <c r="C401" s="8"/>
    </row>
    <row r="402" spans="1:3" x14ac:dyDescent="0.2">
      <c r="A402" s="34"/>
      <c r="B402" s="33"/>
      <c r="C402" s="8"/>
    </row>
    <row r="403" spans="1:3" x14ac:dyDescent="0.2">
      <c r="A403" s="34"/>
      <c r="B403" s="33"/>
      <c r="C403" s="8"/>
    </row>
    <row r="404" spans="1:3" x14ac:dyDescent="0.2">
      <c r="A404" s="34"/>
      <c r="B404" s="33"/>
      <c r="C404" s="8"/>
    </row>
    <row r="405" spans="1:3" x14ac:dyDescent="0.2">
      <c r="A405" s="34"/>
      <c r="B405" s="33"/>
      <c r="C405" s="8"/>
    </row>
    <row r="406" spans="1:3" x14ac:dyDescent="0.2">
      <c r="A406" s="34"/>
      <c r="B406" s="33"/>
      <c r="C406" s="8"/>
    </row>
    <row r="407" spans="1:3" x14ac:dyDescent="0.2">
      <c r="A407" s="34"/>
      <c r="B407" s="33"/>
      <c r="C407" s="8"/>
    </row>
    <row r="408" spans="1:3" x14ac:dyDescent="0.2">
      <c r="A408" s="34"/>
      <c r="B408" s="33"/>
      <c r="C408" s="8"/>
    </row>
    <row r="409" spans="1:3" x14ac:dyDescent="0.2">
      <c r="A409" s="34"/>
      <c r="B409" s="33"/>
      <c r="C409" s="8"/>
    </row>
    <row r="410" spans="1:3" x14ac:dyDescent="0.2">
      <c r="A410" s="34"/>
      <c r="B410" s="33"/>
      <c r="C410" s="8"/>
    </row>
    <row r="411" spans="1:3" x14ac:dyDescent="0.2">
      <c r="A411" s="34"/>
      <c r="B411" s="33"/>
      <c r="C411" s="8"/>
    </row>
    <row r="412" spans="1:3" x14ac:dyDescent="0.2">
      <c r="A412" s="34"/>
      <c r="B412" s="33"/>
      <c r="C412" s="8"/>
    </row>
    <row r="413" spans="1:3" x14ac:dyDescent="0.2">
      <c r="A413" s="34"/>
      <c r="B413" s="33"/>
      <c r="C413" s="8"/>
    </row>
    <row r="414" spans="1:3" x14ac:dyDescent="0.2">
      <c r="A414" s="34"/>
      <c r="B414" s="33"/>
      <c r="C414" s="8"/>
    </row>
    <row r="415" spans="1:3" x14ac:dyDescent="0.2">
      <c r="A415" s="34"/>
      <c r="B415" s="33"/>
      <c r="C415" s="8"/>
    </row>
    <row r="416" spans="1:3" x14ac:dyDescent="0.2">
      <c r="A416" s="33"/>
      <c r="B416" s="33"/>
      <c r="C416" s="8"/>
    </row>
    <row r="417" spans="1:3" x14ac:dyDescent="0.2">
      <c r="A417" s="33"/>
      <c r="B417" s="33"/>
      <c r="C417" s="8"/>
    </row>
    <row r="418" spans="1:3" x14ac:dyDescent="0.2">
      <c r="A418" s="33"/>
      <c r="B418" s="33"/>
      <c r="C418" s="8"/>
    </row>
    <row r="419" spans="1:3" x14ac:dyDescent="0.2">
      <c r="A419" s="33"/>
      <c r="B419" s="33"/>
      <c r="C419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