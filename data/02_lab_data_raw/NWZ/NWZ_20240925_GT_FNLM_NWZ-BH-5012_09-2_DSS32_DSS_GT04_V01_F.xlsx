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2 NWZ\02 Digital Data\F193460-NWZ-04\02 Issue 02\04 XLSX\DSS\"/>
    </mc:Choice>
  </mc:AlternateContent>
  <xr:revisionPtr revIDLastSave="0" documentId="13_ncr:1_{7CB8D61A-2E5E-4FAE-84DC-7EB81286C061}" xr6:coauthVersionLast="47" xr6:coauthVersionMax="47" xr10:uidLastSave="{00000000-0000-0000-0000-000000000000}"/>
  <bookViews>
    <workbookView xWindow="14505" yWindow="-16200" windowWidth="19410" windowHeight="15585" firstSheet="1" activeTab="5" xr2:uid="{00000000-000D-0000-FFFF-FFFF00000000}"/>
  </bookViews>
  <sheets>
    <sheet name="General" sheetId="8" r:id="rId1"/>
    <sheet name="Consolidation - 1" sheetId="4" r:id="rId2"/>
    <sheet name="Consolidation - 2" sheetId="11" r:id="rId3"/>
    <sheet name="Cyclic Preshear" sheetId="14" r:id="rId4"/>
    <sheet name="Consolidation - 3" sheetId="15" r:id="rId5"/>
    <sheet name="Shearing" sheetId="6" r:id="rId6"/>
  </sheets>
  <definedNames>
    <definedName name="autofilter" localSheetId="3">OFFSET(#REF!,0,0,COUNTA(#REF!),25)</definedName>
    <definedName name="autofilter">OFFSET(#REF!,0,0,COUNTA(#REF!),25)</definedName>
    <definedName name="D39979A1" localSheetId="2">'Consolidation - 2'!$C$2:$C$4</definedName>
    <definedName name="D39979A1" localSheetId="4">'Consolidation - 3'!$C$2:$C$4</definedName>
    <definedName name="D39979A1">'Consolidation - 1'!$C$2:$C$4</definedName>
    <definedName name="Datarange">OFFSET(#REF!,0,0,COUNTA(#REF!),48)</definedName>
    <definedName name="groundunit">OFFSET(#REF!,1,0,COUNTA(#REF!)-1,1)</definedName>
    <definedName name="layerboundary">OFFSET(#REF!,1,0,COUNTA(#REF!)-1,3)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1" i="8" l="1"/>
  <c r="L40" i="8"/>
  <c r="L39" i="8"/>
  <c r="L38" i="8"/>
  <c r="L37" i="8"/>
  <c r="L36" i="8"/>
  <c r="L33" i="8"/>
  <c r="L32" i="8"/>
  <c r="L31" i="8"/>
  <c r="L30" i="8"/>
  <c r="L29" i="8"/>
</calcChain>
</file>

<file path=xl/sharedStrings.xml><?xml version="1.0" encoding="utf-8"?>
<sst xmlns="http://schemas.openxmlformats.org/spreadsheetml/2006/main" count="367" uniqueCount="95">
  <si>
    <t>[-]</t>
  </si>
  <si>
    <t>[%]</t>
  </si>
  <si>
    <t>[kPa]</t>
  </si>
  <si>
    <t>Bulk density</t>
  </si>
  <si>
    <t>Dry density</t>
  </si>
  <si>
    <t>Void ratio</t>
  </si>
  <si>
    <t>[mm]</t>
  </si>
  <si>
    <t>Vertical stress</t>
  </si>
  <si>
    <t>Type of sample</t>
  </si>
  <si>
    <t>Specimen orientation</t>
  </si>
  <si>
    <t>Diameter</t>
  </si>
  <si>
    <t>Length</t>
  </si>
  <si>
    <t>[Mg/m³]</t>
  </si>
  <si>
    <t>At peak shear stress</t>
  </si>
  <si>
    <t>Vertical strain</t>
  </si>
  <si>
    <t>Shear stress</t>
  </si>
  <si>
    <t>Shear strain</t>
  </si>
  <si>
    <t>Rate of strain</t>
  </si>
  <si>
    <t>[%/hour]</t>
  </si>
  <si>
    <t>Sample</t>
  </si>
  <si>
    <t>Test number</t>
  </si>
  <si>
    <t>[m]</t>
  </si>
  <si>
    <t>Depth</t>
  </si>
  <si>
    <t>Water content</t>
  </si>
  <si>
    <t>Bulk Density</t>
  </si>
  <si>
    <r>
      <t>[minutes</t>
    </r>
    <r>
      <rPr>
        <vertAlign val="superscript"/>
        <sz val="10"/>
        <rFont val="Segoe UI"/>
        <family val="2"/>
      </rPr>
      <t>0.5</t>
    </r>
    <r>
      <rPr>
        <sz val="10"/>
        <rFont val="Segoe UI"/>
        <family val="2"/>
      </rPr>
      <t>]</t>
    </r>
  </si>
  <si>
    <r>
      <rPr>
        <sz val="10"/>
        <rFont val="Symbol"/>
        <family val="1"/>
        <charset val="2"/>
      </rPr>
      <t>s</t>
    </r>
    <r>
      <rPr>
        <vertAlign val="subscript"/>
        <sz val="10"/>
        <rFont val="Segoe UI"/>
        <family val="2"/>
      </rPr>
      <t>vc</t>
    </r>
  </si>
  <si>
    <t>[MPa]</t>
  </si>
  <si>
    <t>At 15 % shear strain</t>
  </si>
  <si>
    <t>ID</t>
  </si>
  <si>
    <t>Reference stress</t>
  </si>
  <si>
    <r>
      <t xml:space="preserve">Mean </t>
    </r>
    <r>
      <rPr>
        <sz val="10"/>
        <rFont val="Symbol"/>
        <family val="1"/>
        <charset val="2"/>
      </rPr>
      <t>t</t>
    </r>
    <r>
      <rPr>
        <vertAlign val="subscript"/>
        <sz val="10"/>
        <rFont val="Segoe UI"/>
        <family val="2"/>
      </rPr>
      <t>av</t>
    </r>
  </si>
  <si>
    <r>
      <t xml:space="preserve">Mean </t>
    </r>
    <r>
      <rPr>
        <sz val="10"/>
        <rFont val="Symbol"/>
        <family val="1"/>
        <charset val="2"/>
      </rPr>
      <t>t</t>
    </r>
    <r>
      <rPr>
        <vertAlign val="subscript"/>
        <sz val="10"/>
        <rFont val="Segoe UI"/>
        <family val="2"/>
      </rPr>
      <t>cy</t>
    </r>
  </si>
  <si>
    <t>Frequency</t>
  </si>
  <si>
    <t>[Hz]</t>
  </si>
  <si>
    <t>Number of cycles applied (N)</t>
  </si>
  <si>
    <r>
      <rPr>
        <sz val="10"/>
        <color theme="1"/>
        <rFont val="Symbol"/>
        <family val="1"/>
        <charset val="2"/>
      </rPr>
      <t>g</t>
    </r>
    <r>
      <rPr>
        <vertAlign val="subscript"/>
        <sz val="10"/>
        <color theme="1"/>
        <rFont val="Segoe UI"/>
        <family val="2"/>
      </rPr>
      <t>av</t>
    </r>
  </si>
  <si>
    <r>
      <rPr>
        <sz val="10"/>
        <color theme="1"/>
        <rFont val="Symbol"/>
        <family val="1"/>
        <charset val="2"/>
      </rPr>
      <t>g</t>
    </r>
    <r>
      <rPr>
        <vertAlign val="subscript"/>
        <sz val="10"/>
        <color theme="1"/>
        <rFont val="Segoe UI"/>
        <family val="2"/>
      </rPr>
      <t>cy</t>
    </r>
  </si>
  <si>
    <t>G</t>
  </si>
  <si>
    <t>l</t>
  </si>
  <si>
    <r>
      <t>Shear induced -</t>
    </r>
    <r>
      <rPr>
        <sz val="10"/>
        <rFont val="Symbol"/>
        <family val="1"/>
        <charset val="2"/>
      </rPr>
      <t>Ds</t>
    </r>
    <r>
      <rPr>
        <vertAlign val="subscript"/>
        <sz val="10"/>
        <rFont val="Segoe UI"/>
        <family val="2"/>
      </rPr>
      <t>v</t>
    </r>
  </si>
  <si>
    <r>
      <t>Shear induced -Δσ</t>
    </r>
    <r>
      <rPr>
        <vertAlign val="subscript"/>
        <sz val="10"/>
        <color theme="1"/>
        <rFont val="Segoe UI"/>
        <family val="2"/>
      </rPr>
      <t>v</t>
    </r>
    <r>
      <rPr>
        <sz val="10"/>
        <color theme="1"/>
        <rFont val="Segoe UI"/>
        <family val="2"/>
      </rPr>
      <t>/σ</t>
    </r>
    <r>
      <rPr>
        <vertAlign val="subscript"/>
        <sz val="10"/>
        <color theme="1"/>
        <rFont val="Segoe UI"/>
        <family val="2"/>
      </rPr>
      <t>vc</t>
    </r>
  </si>
  <si>
    <t>Shear modulus</t>
  </si>
  <si>
    <t>Damping ratio</t>
  </si>
  <si>
    <t>Test identification</t>
  </si>
  <si>
    <t>Specimen Visual Description</t>
  </si>
  <si>
    <t>Initial Specimen Conditions</t>
  </si>
  <si>
    <t>Degree of saturation</t>
  </si>
  <si>
    <t>Test start date</t>
  </si>
  <si>
    <t>Assumed particle density</t>
  </si>
  <si>
    <t>Torvane</t>
  </si>
  <si>
    <t>Pocket penetrometer</t>
  </si>
  <si>
    <t>Torvane 90°</t>
  </si>
  <si>
    <t>Pocket penetrometer 90°</t>
  </si>
  <si>
    <t>Consolidation - 1</t>
  </si>
  <si>
    <t>Consolidation - 2</t>
  </si>
  <si>
    <t>Consolidation - 3</t>
  </si>
  <si>
    <t>Shearing - Constant Volume</t>
  </si>
  <si>
    <t>Shearing - Constant Volume - At peak shear stress</t>
  </si>
  <si>
    <t>Shearing - Constant Volume - At 15 % shear strain</t>
  </si>
  <si>
    <t>Shearing - Constant Vertical Stress</t>
  </si>
  <si>
    <t>Shearing - Constant Vertical Stress - At peak shear stress</t>
  </si>
  <si>
    <t>Shearing - Constant Vertical Stress - At 15 % shear strain</t>
  </si>
  <si>
    <t>Shearing Stage - Constant Vertical Stress</t>
  </si>
  <si>
    <t>Shearing Stage - Constant Volume</t>
  </si>
  <si>
    <t>Stress Controlled Cyclic Loading - Constant Vertical Stress</t>
  </si>
  <si>
    <t>Final Specimen Conditions</t>
  </si>
  <si>
    <r>
      <t>Shear induced -</t>
    </r>
    <r>
      <rPr>
        <sz val="10"/>
        <rFont val="Symbol"/>
        <family val="1"/>
        <charset val="2"/>
      </rPr>
      <t>D</t>
    </r>
    <r>
      <rPr>
        <sz val="10"/>
        <rFont val="Segoe UI"/>
        <family val="2"/>
      </rPr>
      <t>Vertical Stress</t>
    </r>
  </si>
  <si>
    <t>Number of Cycles</t>
  </si>
  <si>
    <r>
      <rPr>
        <sz val="10"/>
        <rFont val="Symbol"/>
        <family val="1"/>
        <charset val="2"/>
      </rPr>
      <t>s</t>
    </r>
    <r>
      <rPr>
        <vertAlign val="subscript"/>
        <sz val="10"/>
        <rFont val="Segoe UI"/>
        <family val="2"/>
      </rPr>
      <t>v</t>
    </r>
  </si>
  <si>
    <t>Cycle</t>
  </si>
  <si>
    <t>Shear Strain</t>
  </si>
  <si>
    <t>Shear Stress</t>
  </si>
  <si>
    <t>Vertical stress / consolidation Stress</t>
  </si>
  <si>
    <t>Shear Stress / Consolidation Stress</t>
  </si>
  <si>
    <t>Root Time</t>
  </si>
  <si>
    <t>Vertical Strain</t>
  </si>
  <si>
    <t>Vertical Consolidation Stress</t>
  </si>
  <si>
    <t>Vertical Stress</t>
  </si>
  <si>
    <r>
      <t xml:space="preserve">Shear Induced </t>
    </r>
    <r>
      <rPr>
        <sz val="10"/>
        <rFont val="Symbol"/>
        <family val="1"/>
        <charset val="2"/>
      </rPr>
      <t>D</t>
    </r>
    <r>
      <rPr>
        <sz val="10"/>
        <rFont val="Segoe UI"/>
        <family val="2"/>
      </rPr>
      <t>Vertical Strain</t>
    </r>
  </si>
  <si>
    <t>Vertical Stress / Consolidation Stress</t>
  </si>
  <si>
    <t>Shear Modulus</t>
  </si>
  <si>
    <t xml:space="preserve">Shear Modulus </t>
  </si>
  <si>
    <t>Shear Induced ΔVertical Strain</t>
  </si>
  <si>
    <r>
      <t>Shear Induced -</t>
    </r>
    <r>
      <rPr>
        <sz val="10"/>
        <rFont val="Symbol"/>
        <family val="1"/>
        <charset val="2"/>
      </rPr>
      <t>D</t>
    </r>
    <r>
      <rPr>
        <sz val="10"/>
        <rFont val="Segoe UI"/>
        <family val="2"/>
      </rPr>
      <t>Vertical Stress</t>
    </r>
  </si>
  <si>
    <t>Location</t>
  </si>
  <si>
    <t/>
  </si>
  <si>
    <t>NWZ-BH-5012</t>
  </si>
  <si>
    <t>09-2</t>
  </si>
  <si>
    <t>DSS32</t>
  </si>
  <si>
    <t>Stiff high strength black slightly sandy CLAY</t>
  </si>
  <si>
    <t>04/04/2024</t>
  </si>
  <si>
    <t>Undisturbed</t>
  </si>
  <si>
    <t>Vertical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</si>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</sst>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00000"/>
    <numFmt numFmtId="165" formatCode="0.0"/>
    <numFmt numFmtId="166" formatCode="0.000"/>
    <numFmt numFmtId="167" formatCode="0.0000"/>
  </numFmts>
  <fonts count="16">
    <font>
      <sz val="10"/>
      <color theme="1"/>
      <name val="Arial"/>
      <family val="2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0"/>
      <name val="Segoe UI"/>
      <family val="2"/>
    </font>
    <font>
      <sz val="10"/>
      <color theme="1"/>
      <name val="Segoe UI"/>
      <family val="2"/>
    </font>
    <font>
      <sz val="10"/>
      <name val="Segoe UI"/>
      <family val="2"/>
    </font>
    <font>
      <b/>
      <sz val="10"/>
      <color theme="1"/>
      <name val="Segoe UI"/>
      <family val="2"/>
    </font>
    <font>
      <sz val="10"/>
      <name val="CG Times (WN)"/>
    </font>
    <font>
      <vertAlign val="subscript"/>
      <sz val="10"/>
      <name val="Segoe UI"/>
      <family val="2"/>
    </font>
    <font>
      <vertAlign val="superscript"/>
      <sz val="10"/>
      <name val="Segoe UI"/>
      <family val="2"/>
    </font>
    <font>
      <sz val="8"/>
      <name val="Arial"/>
      <family val="2"/>
    </font>
    <font>
      <sz val="10"/>
      <name val="Symbol"/>
      <family val="1"/>
      <charset val="2"/>
    </font>
    <font>
      <sz val="10"/>
      <name val="Segoe UI"/>
      <family val="1"/>
      <charset val="2"/>
    </font>
    <font>
      <sz val="10"/>
      <color theme="1"/>
      <name val="Segoe UI"/>
      <family val="1"/>
      <charset val="2"/>
    </font>
    <font>
      <sz val="10"/>
      <color theme="1"/>
      <name val="Symbol"/>
      <family val="1"/>
      <charset val="2"/>
    </font>
    <font>
      <vertAlign val="subscript"/>
      <sz val="10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2" fillId="0" borderId="0"/>
    <xf numFmtId="0" fontId="7" fillId="0" borderId="0"/>
  </cellStyleXfs>
  <cellXfs count="79">
    <xf numFmtId="0" fontId="0" fillId="0" borderId="0" xfId="0"/>
    <xf numFmtId="0" fontId="4" fillId="0" borderId="0" xfId="0" applyFont="1" applyAlignment="1">
      <alignment horizontal="center"/>
    </xf>
    <xf numFmtId="0" fontId="4" fillId="0" borderId="0" xfId="0" applyFont="1"/>
    <xf numFmtId="0" fontId="5" fillId="0" borderId="0" xfId="0" applyFont="1" applyAlignment="1">
      <alignment horizontal="left" vertical="top"/>
    </xf>
    <xf numFmtId="0" fontId="4" fillId="0" borderId="0" xfId="0" applyFont="1" applyAlignment="1">
      <alignment horizontal="center" vertical="top"/>
    </xf>
    <xf numFmtId="0" fontId="4" fillId="0" borderId="0" xfId="0" applyFont="1" applyAlignment="1">
      <alignment horizontal="left" vertical="top"/>
    </xf>
    <xf numFmtId="2" fontId="4" fillId="0" borderId="0" xfId="0" applyNumberFormat="1" applyFont="1" applyAlignment="1">
      <alignment horizontal="center"/>
    </xf>
    <xf numFmtId="1" fontId="4" fillId="0" borderId="0" xfId="0" applyNumberFormat="1" applyFont="1" applyAlignment="1">
      <alignment horizontal="center"/>
    </xf>
    <xf numFmtId="165" fontId="4" fillId="0" borderId="0" xfId="0" applyNumberFormat="1" applyFont="1" applyAlignment="1">
      <alignment horizontal="center" vertical="top"/>
    </xf>
    <xf numFmtId="2" fontId="4" fillId="0" borderId="0" xfId="0" applyNumberFormat="1" applyFont="1" applyAlignment="1">
      <alignment horizontal="center" vertical="top"/>
    </xf>
    <xf numFmtId="1" fontId="4" fillId="0" borderId="0" xfId="0" applyNumberFormat="1" applyFont="1" applyAlignment="1">
      <alignment horizontal="center" vertical="top"/>
    </xf>
    <xf numFmtId="2" fontId="3" fillId="0" borderId="0" xfId="1" applyNumberFormat="1" applyFont="1" applyAlignment="1">
      <alignment horizontal="left" vertical="top"/>
    </xf>
    <xf numFmtId="0" fontId="5" fillId="0" borderId="0" xfId="1" applyFont="1" applyAlignment="1">
      <alignment horizontal="left" vertical="top"/>
    </xf>
    <xf numFmtId="166" fontId="4" fillId="0" borderId="0" xfId="0" applyNumberFormat="1" applyFont="1" applyAlignment="1">
      <alignment horizontal="center" vertical="top"/>
    </xf>
    <xf numFmtId="1" fontId="5" fillId="0" borderId="0" xfId="1" applyNumberFormat="1" applyFont="1" applyAlignment="1">
      <alignment horizontal="center" vertical="top"/>
    </xf>
    <xf numFmtId="2" fontId="5" fillId="0" borderId="0" xfId="1" applyNumberFormat="1" applyFont="1" applyAlignment="1">
      <alignment horizontal="center" vertical="top"/>
    </xf>
    <xf numFmtId="0" fontId="5" fillId="0" borderId="0" xfId="1" applyFont="1" applyAlignment="1">
      <alignment horizontal="center" vertical="top"/>
    </xf>
    <xf numFmtId="2" fontId="4" fillId="0" borderId="0" xfId="0" applyNumberFormat="1" applyFont="1" applyAlignment="1">
      <alignment horizontal="center" wrapText="1"/>
    </xf>
    <xf numFmtId="1" fontId="4" fillId="0" borderId="0" xfId="0" applyNumberFormat="1" applyFont="1" applyAlignment="1">
      <alignment horizontal="center" wrapText="1"/>
    </xf>
    <xf numFmtId="2" fontId="4" fillId="0" borderId="0" xfId="0" applyNumberFormat="1" applyFont="1" applyAlignment="1">
      <alignment wrapText="1"/>
    </xf>
    <xf numFmtId="2" fontId="4" fillId="0" borderId="0" xfId="0" applyNumberFormat="1" applyFont="1"/>
    <xf numFmtId="2" fontId="6" fillId="0" borderId="0" xfId="0" applyNumberFormat="1" applyFont="1" applyFill="1" applyAlignment="1">
      <alignment horizontal="center"/>
    </xf>
    <xf numFmtId="167" fontId="5" fillId="0" borderId="0" xfId="1" applyNumberFormat="1" applyFont="1" applyBorder="1" applyAlignment="1">
      <alignment horizontal="center" vertical="top"/>
    </xf>
    <xf numFmtId="167" fontId="3" fillId="0" borderId="0" xfId="1" applyNumberFormat="1" applyFont="1" applyBorder="1" applyAlignment="1">
      <alignment horizontal="left" vertical="top"/>
    </xf>
    <xf numFmtId="167" fontId="5" fillId="0" borderId="0" xfId="1" applyNumberFormat="1" applyFont="1" applyAlignment="1">
      <alignment horizontal="center" vertical="top" wrapText="1"/>
    </xf>
    <xf numFmtId="167" fontId="3" fillId="0" borderId="0" xfId="1" applyNumberFormat="1" applyFont="1" applyAlignment="1">
      <alignment horizontal="left" vertical="top"/>
    </xf>
    <xf numFmtId="167" fontId="5" fillId="0" borderId="0" xfId="1" applyNumberFormat="1" applyFont="1" applyAlignment="1">
      <alignment horizontal="center" vertical="top"/>
    </xf>
    <xf numFmtId="0" fontId="5" fillId="0" borderId="0" xfId="3" applyFont="1" applyBorder="1" applyAlignment="1">
      <alignment horizontal="left" vertical="top"/>
    </xf>
    <xf numFmtId="166" fontId="5" fillId="0" borderId="0" xfId="1" applyNumberFormat="1" applyFont="1" applyAlignment="1">
      <alignment horizontal="center" vertical="top"/>
    </xf>
    <xf numFmtId="165" fontId="5" fillId="0" borderId="0" xfId="1" applyNumberFormat="1" applyFont="1" applyAlignment="1">
      <alignment horizontal="center" vertical="top"/>
    </xf>
    <xf numFmtId="0" fontId="3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167" fontId="5" fillId="0" borderId="0" xfId="3" applyNumberFormat="1" applyFont="1" applyAlignment="1">
      <alignment horizontal="center" vertical="top" wrapText="1"/>
    </xf>
    <xf numFmtId="167" fontId="4" fillId="0" borderId="0" xfId="0" applyNumberFormat="1" applyFont="1" applyAlignment="1">
      <alignment horizontal="center" vertical="top"/>
    </xf>
    <xf numFmtId="0" fontId="5" fillId="0" borderId="0" xfId="1" applyFont="1"/>
    <xf numFmtId="2" fontId="6" fillId="0" borderId="0" xfId="0" applyNumberFormat="1" applyFont="1"/>
    <xf numFmtId="2" fontId="6" fillId="0" borderId="0" xfId="0" applyNumberFormat="1" applyFont="1" applyAlignment="1">
      <alignment horizontal="center"/>
    </xf>
    <xf numFmtId="2" fontId="4" fillId="0" borderId="0" xfId="0" applyNumberFormat="1" applyFont="1" applyAlignment="1">
      <alignment horizontal="left"/>
    </xf>
    <xf numFmtId="0" fontId="5" fillId="0" borderId="0" xfId="1" applyFont="1" applyAlignment="1">
      <alignment horizontal="center"/>
    </xf>
    <xf numFmtId="0" fontId="5" fillId="0" borderId="0" xfId="1" applyFont="1" applyFill="1"/>
    <xf numFmtId="164" fontId="5" fillId="0" borderId="0" xfId="1" applyNumberFormat="1" applyFont="1" applyFill="1" applyBorder="1" applyAlignment="1">
      <alignment horizontal="center" vertical="center"/>
    </xf>
    <xf numFmtId="2" fontId="5" fillId="0" borderId="0" xfId="1" applyNumberFormat="1" applyFont="1" applyFill="1" applyBorder="1" applyAlignment="1">
      <alignment horizontal="center" vertical="top"/>
    </xf>
    <xf numFmtId="2" fontId="5" fillId="0" borderId="0" xfId="1" applyNumberFormat="1" applyFont="1" applyFill="1" applyAlignment="1">
      <alignment horizontal="center" vertical="top"/>
    </xf>
    <xf numFmtId="2" fontId="5" fillId="0" borderId="0" xfId="1" applyNumberFormat="1" applyFont="1" applyAlignment="1">
      <alignment horizontal="center" vertical="top" wrapText="1"/>
    </xf>
    <xf numFmtId="164" fontId="5" fillId="0" borderId="0" xfId="1" applyNumberFormat="1" applyFont="1" applyFill="1" applyBorder="1" applyAlignment="1">
      <alignment horizontal="center" vertical="center" wrapText="1"/>
    </xf>
    <xf numFmtId="164" fontId="5" fillId="0" borderId="0" xfId="1" applyNumberFormat="1" applyFont="1" applyFill="1" applyAlignment="1">
      <alignment horizontal="center" vertical="top" wrapText="1"/>
    </xf>
    <xf numFmtId="164" fontId="5" fillId="0" borderId="1" xfId="1" applyNumberFormat="1" applyFont="1" applyFill="1" applyBorder="1" applyAlignment="1">
      <alignment horizontal="center" vertical="center"/>
    </xf>
    <xf numFmtId="2" fontId="5" fillId="0" borderId="1" xfId="1" applyNumberFormat="1" applyFont="1" applyFill="1" applyBorder="1" applyAlignment="1">
      <alignment horizontal="center" vertical="top"/>
    </xf>
    <xf numFmtId="0" fontId="5" fillId="0" borderId="0" xfId="1" applyFont="1" applyFill="1" applyBorder="1" applyAlignment="1">
      <alignment horizontal="center"/>
    </xf>
    <xf numFmtId="164" fontId="5" fillId="0" borderId="0" xfId="1" applyNumberFormat="1" applyFont="1" applyFill="1" applyBorder="1" applyAlignment="1">
      <alignment horizontal="center"/>
    </xf>
    <xf numFmtId="0" fontId="5" fillId="0" borderId="0" xfId="1" applyFont="1" applyFill="1" applyBorder="1" applyAlignment="1">
      <alignment horizontal="center" wrapText="1"/>
    </xf>
    <xf numFmtId="164" fontId="5" fillId="0" borderId="0" xfId="1" applyNumberFormat="1" applyFont="1" applyAlignment="1">
      <alignment horizontal="center"/>
    </xf>
    <xf numFmtId="164" fontId="5" fillId="0" borderId="0" xfId="1" applyNumberFormat="1" applyFont="1" applyFill="1" applyBorder="1" applyAlignment="1">
      <alignment horizontal="center" wrapText="1"/>
    </xf>
    <xf numFmtId="0" fontId="5" fillId="0" borderId="1" xfId="1" applyFont="1" applyFill="1" applyBorder="1" applyAlignment="1">
      <alignment horizontal="center"/>
    </xf>
    <xf numFmtId="164" fontId="5" fillId="0" borderId="1" xfId="1" applyNumberFormat="1" applyFont="1" applyFill="1" applyBorder="1" applyAlignment="1">
      <alignment horizontal="center"/>
    </xf>
    <xf numFmtId="2" fontId="5" fillId="0" borderId="0" xfId="1" applyNumberFormat="1" applyFont="1" applyAlignment="1">
      <alignment horizontal="center"/>
    </xf>
    <xf numFmtId="0" fontId="4" fillId="0" borderId="0" xfId="0" applyFont="1" applyAlignment="1">
      <alignment vertical="top"/>
    </xf>
    <xf numFmtId="0" fontId="5" fillId="0" borderId="0" xfId="1" applyFont="1" applyBorder="1" applyAlignment="1">
      <alignment horizontal="center" wrapText="1"/>
    </xf>
    <xf numFmtId="0" fontId="5" fillId="0" borderId="0" xfId="1" applyFont="1" applyBorder="1" applyAlignment="1">
      <alignment horizontal="center"/>
    </xf>
    <xf numFmtId="0" fontId="12" fillId="0" borderId="0" xfId="3" applyFont="1" applyBorder="1" applyAlignment="1">
      <alignment horizontal="left" vertical="top"/>
    </xf>
    <xf numFmtId="0" fontId="5" fillId="0" borderId="0" xfId="1" applyFont="1" applyAlignment="1">
      <alignment vertical="top"/>
    </xf>
    <xf numFmtId="2" fontId="5" fillId="0" borderId="0" xfId="1" applyNumberFormat="1" applyFont="1" applyAlignment="1">
      <alignment vertical="top"/>
    </xf>
    <xf numFmtId="0" fontId="3" fillId="0" borderId="0" xfId="1" applyFont="1"/>
    <xf numFmtId="0" fontId="3" fillId="0" borderId="0" xfId="3" applyFont="1" applyAlignment="1">
      <alignment horizontal="left" vertical="top"/>
    </xf>
    <xf numFmtId="0" fontId="12" fillId="0" borderId="0" xfId="3" applyFont="1" applyAlignment="1">
      <alignment horizontal="left" vertical="top"/>
    </xf>
    <xf numFmtId="0" fontId="5" fillId="0" borderId="0" xfId="3" applyFont="1" applyAlignment="1">
      <alignment horizontal="left" vertical="top"/>
    </xf>
    <xf numFmtId="0" fontId="5" fillId="0" borderId="0" xfId="3" applyFont="1" applyAlignment="1">
      <alignment horizontal="center" vertical="top"/>
    </xf>
    <xf numFmtId="0" fontId="13" fillId="0" borderId="0" xfId="1" applyFont="1" applyAlignment="1">
      <alignment horizontal="center" vertical="top"/>
    </xf>
    <xf numFmtId="0" fontId="4" fillId="0" borderId="0" xfId="1" applyFont="1" applyAlignment="1">
      <alignment horizontal="center" vertical="center"/>
    </xf>
    <xf numFmtId="0" fontId="14" fillId="0" borderId="0" xfId="1" applyFont="1" applyAlignment="1">
      <alignment horizontal="center" vertical="center"/>
    </xf>
    <xf numFmtId="1" fontId="5" fillId="0" borderId="0" xfId="3" applyNumberFormat="1" applyFont="1" applyAlignment="1">
      <alignment horizontal="center" vertical="top"/>
    </xf>
    <xf numFmtId="167" fontId="4" fillId="0" borderId="0" xfId="0" applyNumberFormat="1" applyFont="1" applyAlignment="1">
      <alignment horizontal="center" vertical="top" wrapText="1"/>
    </xf>
    <xf numFmtId="167" fontId="4" fillId="0" borderId="0" xfId="0" applyNumberFormat="1" applyFont="1" applyAlignment="1">
      <alignment horizontal="center"/>
    </xf>
    <xf numFmtId="167" fontId="5" fillId="0" borderId="0" xfId="1" applyNumberFormat="1" applyFont="1" applyAlignment="1">
      <alignment horizontal="center" wrapText="1"/>
    </xf>
    <xf numFmtId="2" fontId="5" fillId="0" borderId="0" xfId="1" applyNumberFormat="1" applyFont="1" applyAlignment="1">
      <alignment horizontal="left" vertical="top"/>
    </xf>
    <xf numFmtId="14" fontId="4" fillId="0" borderId="0" xfId="0" applyNumberFormat="1" applyFont="1" applyAlignment="1">
      <alignment horizontal="center" vertical="top"/>
    </xf>
    <xf numFmtId="0" fontId="3" fillId="0" borderId="0" xfId="3" applyFont="1" applyAlignment="1">
      <alignment horizontal="left" vertical="top" wrapText="1"/>
    </xf>
    <xf numFmtId="167" fontId="5" fillId="0" borderId="0" xfId="1" applyNumberFormat="1" applyFont="1" applyAlignment="1">
      <alignment horizontal="center"/>
    </xf>
    <xf numFmtId="2" fontId="5" fillId="0" borderId="0" xfId="1" applyNumberFormat="1" applyFont="1" applyBorder="1" applyAlignment="1">
      <alignment horizontal="center" vertical="top"/>
    </xf>
  </cellXfs>
  <cellStyles count="4">
    <cellStyle name="Normal" xfId="0" builtinId="0"/>
    <cellStyle name="Normal 2" xfId="1" xr:uid="{00000000-0005-0000-0000-000001000000}"/>
    <cellStyle name="Normal 2 2 2" xfId="2" xr:uid="{00000000-0005-0000-0000-000002000000}"/>
    <cellStyle name="Normal_01_18_CA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5AC3E-E932-43BE-8610-3A2536DE63DD}">
  <dimension ref="A1:O135"/>
  <sheetViews>
    <sheetView zoomScaleNormal="100" workbookViewId="0">
      <pane xSplit="2" topLeftCell="C1" activePane="topRight" state="frozen"/>
      <selection pane="topRight" activeCell="A26" sqref="A26:XFD28"/>
    </sheetView>
  </sheetViews>
  <sheetFormatPr defaultColWidth="9.140625" defaultRowHeight="15" customHeight="1"/>
  <cols>
    <col min="1" max="1" width="60.7109375" style="34" customWidth="1"/>
    <col min="2" max="2" width="32.7109375" style="5" customWidth="1"/>
    <col min="3" max="3" width="15.7109375" style="16" customWidth="1"/>
    <col min="4" max="4" width="15.7109375" style="12" customWidth="1"/>
    <col min="5" max="5" width="15.7109375" style="56" customWidth="1"/>
    <col min="6" max="6" width="15.7109375" style="60" customWidth="1"/>
    <col min="7" max="8" width="9.140625" style="34"/>
    <col min="9" max="10" width="9.140625" style="20"/>
    <col min="11" max="11" width="9.140625" style="6"/>
    <col min="12" max="14" width="9.140625" style="20"/>
    <col min="15" max="16384" width="9.140625" style="34"/>
  </cols>
  <sheetData>
    <row r="1" spans="1:14" ht="15" customHeight="1">
      <c r="A1" s="62" t="s">
        <v>29</v>
      </c>
      <c r="B1" s="30" t="s">
        <v>44</v>
      </c>
      <c r="C1" s="4"/>
      <c r="D1" s="5"/>
      <c r="F1" s="56"/>
      <c r="H1" s="35"/>
      <c r="I1" s="35"/>
      <c r="J1" s="35"/>
      <c r="K1" s="36"/>
      <c r="L1" s="36"/>
      <c r="M1" s="21"/>
      <c r="N1" s="21"/>
    </row>
    <row r="2" spans="1:14" ht="15" customHeight="1">
      <c r="A2" s="3" t="s">
        <v>44</v>
      </c>
      <c r="B2" s="3" t="s">
        <v>85</v>
      </c>
      <c r="C2" s="4" t="s">
        <v>87</v>
      </c>
      <c r="D2" s="5"/>
      <c r="F2" s="56"/>
      <c r="H2" s="37"/>
      <c r="I2" s="19"/>
      <c r="J2" s="17"/>
      <c r="K2" s="18"/>
      <c r="L2" s="18"/>
      <c r="M2" s="7"/>
      <c r="N2" s="18"/>
    </row>
    <row r="3" spans="1:14" ht="15" customHeight="1">
      <c r="A3" s="3" t="s">
        <v>44</v>
      </c>
      <c r="B3" s="3" t="s">
        <v>19</v>
      </c>
      <c r="C3" s="4" t="s">
        <v>88</v>
      </c>
      <c r="D3" s="5"/>
      <c r="F3" s="56"/>
      <c r="H3" s="37"/>
      <c r="I3" s="37"/>
      <c r="J3" s="6"/>
      <c r="K3" s="14"/>
      <c r="L3" s="7"/>
      <c r="M3" s="7"/>
      <c r="N3" s="7"/>
    </row>
    <row r="4" spans="1:14" ht="15" customHeight="1">
      <c r="A4" s="3" t="s">
        <v>44</v>
      </c>
      <c r="B4" s="3" t="s">
        <v>22</v>
      </c>
      <c r="C4" s="9">
        <v>8.1</v>
      </c>
      <c r="D4" s="5" t="s">
        <v>21</v>
      </c>
      <c r="H4" s="20"/>
      <c r="I4" s="2"/>
      <c r="J4" s="1"/>
      <c r="K4" s="7"/>
      <c r="L4" s="7"/>
      <c r="M4" s="7"/>
      <c r="N4" s="7"/>
    </row>
    <row r="5" spans="1:14" ht="15" customHeight="1">
      <c r="A5" s="3" t="s">
        <v>44</v>
      </c>
      <c r="B5" s="3" t="s">
        <v>20</v>
      </c>
      <c r="C5" s="4" t="s">
        <v>89</v>
      </c>
      <c r="D5" s="5"/>
      <c r="F5" s="56"/>
      <c r="H5" s="20"/>
      <c r="I5" s="2"/>
      <c r="J5" s="1"/>
      <c r="K5" s="7"/>
      <c r="L5" s="7"/>
      <c r="M5" s="7"/>
      <c r="N5" s="7"/>
    </row>
    <row r="6" spans="1:14" ht="15" customHeight="1">
      <c r="B6" s="3"/>
      <c r="D6" s="5"/>
      <c r="F6" s="56"/>
      <c r="H6" s="20"/>
      <c r="I6" s="2"/>
      <c r="J6" s="1"/>
      <c r="K6" s="7"/>
      <c r="L6" s="7"/>
      <c r="M6" s="7"/>
      <c r="N6" s="7"/>
    </row>
    <row r="7" spans="1:14" ht="15" customHeight="1">
      <c r="B7" s="30" t="s">
        <v>45</v>
      </c>
      <c r="C7" s="4"/>
      <c r="D7" s="5"/>
      <c r="F7" s="56"/>
      <c r="H7" s="20"/>
      <c r="I7" s="2"/>
      <c r="J7" s="1"/>
      <c r="K7" s="7"/>
      <c r="L7" s="7"/>
      <c r="M7" s="7"/>
      <c r="N7" s="7"/>
    </row>
    <row r="8" spans="1:14" ht="15" customHeight="1">
      <c r="A8" s="3" t="s">
        <v>45</v>
      </c>
      <c r="B8" s="12" t="s">
        <v>90</v>
      </c>
      <c r="C8" s="4"/>
      <c r="D8" s="5"/>
      <c r="F8" s="56"/>
      <c r="H8" s="20"/>
      <c r="I8" s="2"/>
      <c r="J8" s="1"/>
      <c r="K8" s="7"/>
      <c r="L8" s="7"/>
      <c r="M8" s="7"/>
      <c r="N8" s="7"/>
    </row>
    <row r="9" spans="1:14" ht="15" customHeight="1">
      <c r="C9" s="4"/>
      <c r="D9" s="5"/>
      <c r="F9" s="56"/>
      <c r="H9" s="20"/>
      <c r="I9" s="2"/>
      <c r="J9" s="1"/>
      <c r="K9" s="7"/>
      <c r="L9" s="7"/>
      <c r="M9" s="7"/>
      <c r="N9" s="7"/>
    </row>
    <row r="10" spans="1:14" ht="15" customHeight="1">
      <c r="B10" s="30" t="s">
        <v>46</v>
      </c>
      <c r="C10" s="4"/>
      <c r="D10" s="5"/>
      <c r="F10" s="56"/>
      <c r="H10" s="20"/>
      <c r="I10" s="2"/>
      <c r="J10" s="1"/>
      <c r="K10" s="7"/>
      <c r="L10" s="7"/>
      <c r="M10" s="7"/>
      <c r="N10" s="7"/>
    </row>
    <row r="11" spans="1:14" ht="15" customHeight="1">
      <c r="A11" s="3" t="s">
        <v>46</v>
      </c>
      <c r="B11" s="5" t="s">
        <v>48</v>
      </c>
      <c r="C11" s="75" t="s">
        <v>91</v>
      </c>
      <c r="D11" s="5"/>
      <c r="F11" s="56"/>
      <c r="H11" s="20"/>
      <c r="I11" s="2"/>
      <c r="J11" s="1"/>
      <c r="K11" s="7"/>
      <c r="L11" s="7"/>
      <c r="M11" s="7"/>
      <c r="N11" s="7"/>
    </row>
    <row r="12" spans="1:14" ht="15" customHeight="1">
      <c r="A12" s="3" t="s">
        <v>46</v>
      </c>
      <c r="B12" s="5" t="s">
        <v>8</v>
      </c>
      <c r="C12" s="4" t="s">
        <v>92</v>
      </c>
      <c r="D12" s="5"/>
      <c r="F12" s="56"/>
      <c r="H12" s="20"/>
      <c r="I12" s="2"/>
      <c r="J12" s="1"/>
      <c r="K12" s="7"/>
      <c r="L12" s="7"/>
      <c r="M12" s="7"/>
      <c r="N12" s="7"/>
    </row>
    <row r="13" spans="1:14" ht="15" customHeight="1">
      <c r="A13" s="3" t="s">
        <v>46</v>
      </c>
      <c r="B13" s="5" t="s">
        <v>9</v>
      </c>
      <c r="C13" s="4" t="s">
        <v>93</v>
      </c>
      <c r="D13" s="5"/>
      <c r="F13" s="56"/>
      <c r="H13" s="20"/>
      <c r="I13" s="2"/>
      <c r="J13" s="1"/>
      <c r="K13" s="7"/>
      <c r="L13" s="7"/>
      <c r="M13" s="7"/>
      <c r="N13" s="7"/>
    </row>
    <row r="14" spans="1:14" ht="15" customHeight="1">
      <c r="A14" s="3" t="s">
        <v>46</v>
      </c>
      <c r="B14" s="5" t="s">
        <v>10</v>
      </c>
      <c r="C14" s="8">
        <v>65.63</v>
      </c>
      <c r="D14" s="5" t="s">
        <v>6</v>
      </c>
      <c r="F14" s="56"/>
      <c r="H14" s="20"/>
      <c r="I14" s="2"/>
      <c r="J14" s="1"/>
      <c r="K14" s="7"/>
      <c r="L14" s="7"/>
      <c r="M14" s="7"/>
      <c r="N14" s="7"/>
    </row>
    <row r="15" spans="1:14" ht="15" customHeight="1">
      <c r="A15" s="3" t="s">
        <v>46</v>
      </c>
      <c r="B15" s="5" t="s">
        <v>11</v>
      </c>
      <c r="C15" s="8">
        <v>19.829999999999998</v>
      </c>
      <c r="D15" s="5" t="s">
        <v>6</v>
      </c>
      <c r="F15" s="56"/>
      <c r="H15" s="20"/>
      <c r="I15" s="2"/>
      <c r="J15" s="1"/>
      <c r="K15" s="7"/>
      <c r="L15" s="7"/>
      <c r="M15" s="7"/>
      <c r="N15" s="7"/>
    </row>
    <row r="16" spans="1:14" ht="15" customHeight="1">
      <c r="A16" s="3" t="s">
        <v>46</v>
      </c>
      <c r="B16" s="5" t="s">
        <v>23</v>
      </c>
      <c r="C16" s="8">
        <v>20.478260869565201</v>
      </c>
      <c r="D16" s="5" t="s">
        <v>1</v>
      </c>
      <c r="F16" s="56"/>
      <c r="H16" s="20"/>
      <c r="I16" s="2"/>
      <c r="J16" s="1"/>
      <c r="K16" s="7"/>
      <c r="L16" s="7"/>
      <c r="M16" s="7"/>
      <c r="N16" s="7"/>
    </row>
    <row r="17" spans="1:14" ht="15" customHeight="1">
      <c r="A17" s="3" t="s">
        <v>46</v>
      </c>
      <c r="B17" s="5" t="s">
        <v>3</v>
      </c>
      <c r="C17" s="9">
        <v>2.1055766335018</v>
      </c>
      <c r="D17" s="5" t="s">
        <v>12</v>
      </c>
      <c r="F17" s="56"/>
      <c r="H17" s="20"/>
      <c r="I17" s="2"/>
      <c r="J17" s="1"/>
      <c r="K17" s="7"/>
      <c r="L17" s="7"/>
      <c r="M17" s="7"/>
      <c r="N17" s="7"/>
    </row>
    <row r="18" spans="1:14" ht="15" customHeight="1">
      <c r="A18" s="3" t="s">
        <v>46</v>
      </c>
      <c r="B18" s="5" t="s">
        <v>4</v>
      </c>
      <c r="C18" s="9">
        <v>1.7476817961220299</v>
      </c>
      <c r="D18" s="5" t="s">
        <v>12</v>
      </c>
      <c r="F18" s="56"/>
      <c r="H18" s="20"/>
      <c r="J18" s="6"/>
      <c r="K18" s="7"/>
      <c r="L18" s="7"/>
      <c r="M18" s="7"/>
      <c r="N18" s="7"/>
    </row>
    <row r="19" spans="1:14" ht="15" customHeight="1">
      <c r="A19" s="3" t="s">
        <v>46</v>
      </c>
      <c r="B19" s="5" t="s">
        <v>5</v>
      </c>
      <c r="C19" s="13">
        <v>0.54490365808643804</v>
      </c>
      <c r="D19" s="5" t="s">
        <v>0</v>
      </c>
      <c r="F19" s="56"/>
      <c r="H19" s="20"/>
      <c r="J19" s="6"/>
      <c r="K19" s="7"/>
      <c r="L19" s="7"/>
      <c r="M19" s="7"/>
      <c r="N19" s="7"/>
    </row>
    <row r="20" spans="1:14" ht="15" customHeight="1">
      <c r="A20" s="3" t="s">
        <v>46</v>
      </c>
      <c r="B20" s="5" t="s">
        <v>47</v>
      </c>
      <c r="C20" s="10">
        <v>100</v>
      </c>
      <c r="D20" s="5" t="s">
        <v>1</v>
      </c>
      <c r="F20" s="56"/>
      <c r="H20" s="20"/>
      <c r="J20" s="6"/>
      <c r="K20" s="7"/>
      <c r="L20" s="7"/>
      <c r="M20" s="7"/>
      <c r="N20" s="7"/>
    </row>
    <row r="21" spans="1:14" ht="15" customHeight="1">
      <c r="A21" s="3" t="s">
        <v>46</v>
      </c>
      <c r="B21" s="5" t="s">
        <v>49</v>
      </c>
      <c r="C21" s="9">
        <v>2.7</v>
      </c>
      <c r="D21" s="5" t="s">
        <v>12</v>
      </c>
      <c r="F21" s="56"/>
      <c r="H21" s="20"/>
      <c r="J21" s="6"/>
      <c r="K21" s="7"/>
      <c r="L21" s="7"/>
      <c r="M21" s="7"/>
      <c r="N21" s="7"/>
    </row>
    <row r="22" spans="1:14" ht="15" customHeight="1">
      <c r="A22" s="3" t="s">
        <v>46</v>
      </c>
      <c r="B22" s="5" t="s">
        <v>50</v>
      </c>
      <c r="C22" s="10">
        <v>100</v>
      </c>
      <c r="D22" s="5" t="s">
        <v>2</v>
      </c>
      <c r="F22" s="56"/>
      <c r="H22" s="20"/>
      <c r="J22" s="6"/>
      <c r="K22" s="7"/>
      <c r="L22" s="7"/>
      <c r="M22" s="7"/>
      <c r="N22" s="7"/>
    </row>
    <row r="23" spans="1:14" ht="15" customHeight="1">
      <c r="A23" s="3" t="s">
        <v>46</v>
      </c>
      <c r="B23" s="5" t="s">
        <v>51</v>
      </c>
      <c r="C23" s="10">
        <v>105</v>
      </c>
      <c r="D23" s="5" t="s">
        <v>2</v>
      </c>
      <c r="F23" s="56"/>
      <c r="H23" s="20"/>
      <c r="J23" s="6"/>
      <c r="K23" s="7"/>
      <c r="L23" s="7"/>
      <c r="M23" s="7"/>
      <c r="N23" s="7"/>
    </row>
    <row r="24" spans="1:14" ht="15" customHeight="1">
      <c r="A24" s="3" t="s">
        <v>46</v>
      </c>
      <c r="B24" s="5" t="s">
        <v>52</v>
      </c>
      <c r="C24" s="10" t="s">
        <v>94</v>
      </c>
      <c r="D24" s="5" t="s">
        <v>2</v>
      </c>
      <c r="F24" s="56"/>
      <c r="H24" s="20"/>
      <c r="J24" s="6"/>
      <c r="K24" s="7"/>
      <c r="L24" s="7"/>
      <c r="M24" s="7"/>
      <c r="N24" s="7"/>
    </row>
    <row r="25" spans="1:14" ht="15" customHeight="1">
      <c r="A25" s="3" t="s">
        <v>46</v>
      </c>
      <c r="B25" s="5" t="s">
        <v>53</v>
      </c>
      <c r="C25" s="10" t="s">
        <v>94</v>
      </c>
      <c r="D25" s="5" t="s">
        <v>2</v>
      </c>
      <c r="F25" s="56"/>
      <c r="I25" s="6"/>
      <c r="J25" s="6"/>
      <c r="K25" s="7"/>
      <c r="L25" s="7"/>
      <c r="M25" s="7"/>
      <c r="N25" s="7"/>
    </row>
    <row r="26" spans="1:14" ht="15" customHeight="1">
      <c r="C26" s="4"/>
      <c r="D26" s="5"/>
      <c r="F26" s="56"/>
      <c r="I26" s="6"/>
      <c r="J26" s="6"/>
      <c r="K26" s="7"/>
      <c r="L26" s="7"/>
      <c r="M26" s="7"/>
      <c r="N26" s="7"/>
    </row>
    <row r="27" spans="1:14" ht="15" customHeight="1">
      <c r="B27" s="11" t="s">
        <v>54</v>
      </c>
      <c r="C27" s="4"/>
      <c r="D27" s="5"/>
    </row>
    <row r="28" spans="1:14" ht="15" customHeight="1">
      <c r="A28" s="74" t="s">
        <v>54</v>
      </c>
      <c r="B28" s="59" t="s">
        <v>26</v>
      </c>
      <c r="C28" s="10">
        <v>259.83292673003501</v>
      </c>
      <c r="D28" s="5" t="s">
        <v>2</v>
      </c>
      <c r="H28" s="20"/>
      <c r="J28" s="6"/>
      <c r="K28" s="7"/>
      <c r="L28" s="7"/>
      <c r="M28" s="7"/>
      <c r="N28" s="7"/>
    </row>
    <row r="29" spans="1:14" ht="15" customHeight="1">
      <c r="A29" s="74" t="s">
        <v>54</v>
      </c>
      <c r="B29" s="27" t="s">
        <v>14</v>
      </c>
      <c r="C29" s="9">
        <v>6.0458900655572396</v>
      </c>
      <c r="D29" s="5" t="s">
        <v>1</v>
      </c>
      <c r="H29" s="20"/>
      <c r="J29" s="6"/>
      <c r="K29" s="7"/>
      <c r="L29" s="7" t="str">
        <f t="shared" ref="L29:L33" ca="1" si="0">IF(J29="","",COLUMN(INDIRECT(J29,TRUE)))</f>
        <v/>
      </c>
      <c r="M29" s="7"/>
      <c r="N29" s="7"/>
    </row>
    <row r="30" spans="1:14" ht="15" customHeight="1">
      <c r="A30" s="74" t="s">
        <v>54</v>
      </c>
      <c r="B30" s="27" t="s">
        <v>3</v>
      </c>
      <c r="C30" s="9">
        <v>2.1767198202114102</v>
      </c>
      <c r="D30" s="5" t="s">
        <v>12</v>
      </c>
      <c r="H30" s="20"/>
      <c r="J30" s="6"/>
      <c r="K30" s="7"/>
      <c r="L30" s="7" t="str">
        <f t="shared" ca="1" si="0"/>
        <v/>
      </c>
      <c r="M30" s="7"/>
      <c r="N30" s="7"/>
    </row>
    <row r="31" spans="1:14" ht="15" customHeight="1">
      <c r="A31" s="74" t="s">
        <v>54</v>
      </c>
      <c r="B31" s="27" t="s">
        <v>4</v>
      </c>
      <c r="C31" s="9">
        <v>1.8601440611182301</v>
      </c>
      <c r="D31" s="5" t="s">
        <v>12</v>
      </c>
      <c r="H31" s="20"/>
      <c r="J31" s="6"/>
      <c r="K31" s="7"/>
      <c r="L31" s="7" t="str">
        <f t="shared" ca="1" si="0"/>
        <v/>
      </c>
      <c r="M31" s="7"/>
      <c r="N31" s="7"/>
    </row>
    <row r="32" spans="1:14" ht="15" customHeight="1">
      <c r="A32" s="74" t="s">
        <v>54</v>
      </c>
      <c r="B32" s="27" t="s">
        <v>5</v>
      </c>
      <c r="C32" s="13">
        <v>0.45150048129976</v>
      </c>
      <c r="D32" s="5" t="s">
        <v>0</v>
      </c>
      <c r="H32" s="20"/>
      <c r="J32" s="6"/>
      <c r="K32" s="7"/>
      <c r="L32" s="7" t="str">
        <f t="shared" ca="1" si="0"/>
        <v/>
      </c>
      <c r="M32" s="7"/>
      <c r="N32" s="7"/>
    </row>
    <row r="33" spans="1:14" ht="15" customHeight="1">
      <c r="A33" s="74" t="s">
        <v>54</v>
      </c>
      <c r="B33" s="27" t="s">
        <v>23</v>
      </c>
      <c r="C33" s="8">
        <v>17.018883951540101</v>
      </c>
      <c r="D33" s="5" t="s">
        <v>1</v>
      </c>
      <c r="H33" s="20"/>
      <c r="J33" s="6"/>
      <c r="K33" s="7"/>
      <c r="L33" s="7" t="str">
        <f t="shared" ca="1" si="0"/>
        <v/>
      </c>
      <c r="M33" s="7"/>
      <c r="N33" s="7"/>
    </row>
    <row r="34" spans="1:14" ht="15" customHeight="1">
      <c r="C34" s="4"/>
      <c r="D34" s="5"/>
      <c r="F34" s="56"/>
    </row>
    <row r="35" spans="1:14" ht="15" customHeight="1">
      <c r="B35" s="11" t="s">
        <v>55</v>
      </c>
      <c r="C35" s="4"/>
      <c r="D35" s="5"/>
      <c r="F35" s="56"/>
    </row>
    <row r="36" spans="1:14" ht="15" customHeight="1">
      <c r="A36" s="74" t="s">
        <v>55</v>
      </c>
      <c r="B36" s="59" t="s">
        <v>26</v>
      </c>
      <c r="C36" s="10">
        <v>81.083244370931396</v>
      </c>
      <c r="D36" s="5" t="s">
        <v>2</v>
      </c>
      <c r="F36" s="56"/>
      <c r="H36" s="20"/>
      <c r="J36" s="6"/>
      <c r="K36" s="7"/>
      <c r="L36" s="7" t="str">
        <f t="shared" ref="L36" ca="1" si="1">IF(J36="","",COLUMN(INDIRECT(J36,TRUE)))</f>
        <v/>
      </c>
      <c r="M36" s="7"/>
      <c r="N36" s="7"/>
    </row>
    <row r="37" spans="1:14" ht="15" customHeight="1">
      <c r="A37" s="74" t="s">
        <v>55</v>
      </c>
      <c r="B37" s="27" t="s">
        <v>14</v>
      </c>
      <c r="C37" s="9">
        <v>5.8785262584594902</v>
      </c>
      <c r="D37" s="5" t="s">
        <v>1</v>
      </c>
      <c r="F37" s="56"/>
      <c r="H37" s="20"/>
      <c r="J37" s="6"/>
      <c r="K37" s="7"/>
      <c r="L37" s="7" t="str">
        <f t="shared" ref="L37:L41" ca="1" si="2">IF(J37="","",COLUMN(INDIRECT(J37,TRUE)))</f>
        <v/>
      </c>
      <c r="M37" s="7"/>
      <c r="N37" s="7"/>
    </row>
    <row r="38" spans="1:14" ht="15" customHeight="1">
      <c r="A38" s="74" t="s">
        <v>55</v>
      </c>
      <c r="B38" s="27" t="s">
        <v>3</v>
      </c>
      <c r="C38" s="9">
        <v>2.1746392615952899</v>
      </c>
      <c r="D38" s="5" t="s">
        <v>12</v>
      </c>
      <c r="H38" s="20"/>
      <c r="J38" s="6"/>
      <c r="K38" s="7"/>
      <c r="L38" s="7" t="str">
        <f t="shared" ca="1" si="2"/>
        <v/>
      </c>
      <c r="M38" s="7"/>
      <c r="N38" s="7"/>
    </row>
    <row r="39" spans="1:14" ht="15" customHeight="1">
      <c r="A39" s="74" t="s">
        <v>55</v>
      </c>
      <c r="B39" s="27" t="s">
        <v>4</v>
      </c>
      <c r="C39" s="9">
        <v>1.85685513992637</v>
      </c>
      <c r="D39" s="5" t="s">
        <v>12</v>
      </c>
      <c r="H39" s="20"/>
      <c r="J39" s="6"/>
      <c r="K39" s="7"/>
      <c r="L39" s="7" t="str">
        <f t="shared" ca="1" si="2"/>
        <v/>
      </c>
      <c r="M39" s="7"/>
      <c r="N39" s="7"/>
    </row>
    <row r="40" spans="1:14" ht="15" customHeight="1">
      <c r="A40" s="74" t="s">
        <v>55</v>
      </c>
      <c r="B40" s="27" t="s">
        <v>5</v>
      </c>
      <c r="C40" s="13">
        <v>0.45407142536011602</v>
      </c>
      <c r="D40" s="5" t="s">
        <v>0</v>
      </c>
      <c r="H40" s="20"/>
      <c r="J40" s="6"/>
      <c r="K40" s="7"/>
      <c r="L40" s="7" t="str">
        <f t="shared" ca="1" si="2"/>
        <v/>
      </c>
      <c r="M40" s="7"/>
      <c r="N40" s="7"/>
    </row>
    <row r="41" spans="1:14" ht="15" customHeight="1">
      <c r="A41" s="74" t="s">
        <v>55</v>
      </c>
      <c r="B41" s="27" t="s">
        <v>23</v>
      </c>
      <c r="C41" s="8">
        <v>17.114104101923601</v>
      </c>
      <c r="D41" s="5" t="s">
        <v>1</v>
      </c>
      <c r="H41" s="20"/>
      <c r="J41" s="6"/>
      <c r="K41" s="7"/>
      <c r="L41" s="7" t="str">
        <f t="shared" ca="1" si="2"/>
        <v/>
      </c>
      <c r="M41" s="7"/>
      <c r="N41" s="7"/>
    </row>
    <row r="42" spans="1:14" ht="15" customHeight="1">
      <c r="B42" s="27"/>
      <c r="C42" s="8"/>
      <c r="D42" s="5"/>
      <c r="I42" s="17"/>
      <c r="J42" s="7"/>
      <c r="K42" s="7"/>
      <c r="L42" s="7"/>
      <c r="M42" s="7"/>
      <c r="N42" s="7"/>
    </row>
    <row r="43" spans="1:14" ht="30" customHeight="1">
      <c r="B43" s="76" t="s">
        <v>65</v>
      </c>
      <c r="C43" s="8"/>
      <c r="D43" s="5"/>
      <c r="I43" s="17"/>
      <c r="J43" s="7"/>
      <c r="K43" s="7"/>
      <c r="L43" s="7"/>
      <c r="M43" s="7"/>
      <c r="N43" s="7"/>
    </row>
    <row r="44" spans="1:14" ht="15" customHeight="1">
      <c r="B44" s="76"/>
      <c r="C44" s="8"/>
      <c r="D44" s="5"/>
      <c r="I44" s="17"/>
      <c r="J44" s="7"/>
      <c r="K44" s="7"/>
      <c r="L44" s="7"/>
      <c r="M44" s="7"/>
      <c r="N44" s="7"/>
    </row>
    <row r="45" spans="1:14" ht="15" customHeight="1">
      <c r="A45" s="65" t="s">
        <v>65</v>
      </c>
      <c r="B45" s="64" t="s">
        <v>69</v>
      </c>
      <c r="C45" s="10"/>
      <c r="D45" s="5" t="s">
        <v>2</v>
      </c>
    </row>
    <row r="46" spans="1:14" ht="15" customHeight="1">
      <c r="A46" s="65" t="s">
        <v>65</v>
      </c>
      <c r="B46" s="65" t="s">
        <v>30</v>
      </c>
      <c r="C46" s="10"/>
      <c r="D46" s="5" t="s">
        <v>2</v>
      </c>
      <c r="H46" s="20"/>
      <c r="J46" s="6"/>
      <c r="K46" s="7"/>
      <c r="L46" s="7"/>
      <c r="M46" s="7"/>
      <c r="N46" s="7"/>
    </row>
    <row r="47" spans="1:14" ht="15" customHeight="1">
      <c r="A47" s="65" t="s">
        <v>65</v>
      </c>
      <c r="B47" s="65" t="s">
        <v>31</v>
      </c>
      <c r="C47" s="10"/>
      <c r="D47" s="5" t="s">
        <v>2</v>
      </c>
      <c r="H47" s="20"/>
      <c r="J47" s="6"/>
      <c r="K47" s="7"/>
      <c r="L47" s="7"/>
      <c r="M47" s="7"/>
      <c r="N47" s="7"/>
    </row>
    <row r="48" spans="1:14" ht="15" customHeight="1">
      <c r="A48" s="65" t="s">
        <v>65</v>
      </c>
      <c r="B48" s="65" t="s">
        <v>32</v>
      </c>
      <c r="C48" s="10"/>
      <c r="D48" s="5" t="s">
        <v>2</v>
      </c>
      <c r="H48" s="20"/>
      <c r="J48" s="6"/>
      <c r="K48" s="7"/>
      <c r="L48" s="7"/>
      <c r="M48" s="7"/>
      <c r="N48" s="7"/>
    </row>
    <row r="49" spans="1:15" ht="15" customHeight="1">
      <c r="A49" s="65" t="s">
        <v>65</v>
      </c>
      <c r="B49" s="65" t="s">
        <v>33</v>
      </c>
      <c r="C49" s="9"/>
      <c r="D49" s="5" t="s">
        <v>34</v>
      </c>
      <c r="H49" s="20"/>
      <c r="J49" s="6"/>
      <c r="K49" s="7"/>
      <c r="L49" s="7"/>
      <c r="M49" s="7"/>
      <c r="N49" s="7"/>
    </row>
    <row r="50" spans="1:15" ht="15" customHeight="1">
      <c r="A50" s="65" t="s">
        <v>65</v>
      </c>
      <c r="B50" s="65" t="s">
        <v>35</v>
      </c>
      <c r="C50" s="10"/>
      <c r="D50" s="5" t="s">
        <v>0</v>
      </c>
      <c r="H50" s="20"/>
      <c r="J50" s="6"/>
      <c r="K50" s="7"/>
      <c r="L50" s="7"/>
      <c r="M50" s="7"/>
      <c r="N50" s="7"/>
    </row>
    <row r="51" spans="1:15" ht="15" customHeight="1">
      <c r="A51" s="65" t="s">
        <v>65</v>
      </c>
      <c r="B51" s="65" t="s">
        <v>14</v>
      </c>
      <c r="C51" s="9"/>
      <c r="D51" s="5" t="s">
        <v>1</v>
      </c>
      <c r="H51" s="20"/>
      <c r="J51" s="6"/>
      <c r="K51" s="7"/>
      <c r="L51" s="7"/>
      <c r="M51" s="7"/>
      <c r="N51" s="7"/>
    </row>
    <row r="52" spans="1:15" ht="15" customHeight="1">
      <c r="A52" s="65" t="s">
        <v>65</v>
      </c>
      <c r="B52" s="65" t="s">
        <v>3</v>
      </c>
      <c r="C52" s="9"/>
      <c r="D52" s="5" t="s">
        <v>12</v>
      </c>
      <c r="H52" s="20"/>
      <c r="J52" s="6"/>
      <c r="K52" s="7"/>
      <c r="L52" s="7"/>
      <c r="M52" s="7"/>
      <c r="N52" s="7"/>
    </row>
    <row r="53" spans="1:15" ht="15" customHeight="1">
      <c r="A53" s="65" t="s">
        <v>65</v>
      </c>
      <c r="B53" s="65" t="s">
        <v>4</v>
      </c>
      <c r="C53" s="9"/>
      <c r="D53" s="5" t="s">
        <v>12</v>
      </c>
      <c r="H53" s="20"/>
      <c r="J53" s="6"/>
      <c r="K53" s="7"/>
      <c r="L53" s="7"/>
      <c r="M53" s="7"/>
      <c r="N53" s="7"/>
    </row>
    <row r="54" spans="1:15" ht="15" customHeight="1">
      <c r="A54" s="65" t="s">
        <v>65</v>
      </c>
      <c r="B54" s="65" t="s">
        <v>5</v>
      </c>
      <c r="C54" s="13"/>
      <c r="D54" s="5" t="s">
        <v>0</v>
      </c>
      <c r="H54" s="20"/>
      <c r="J54" s="6"/>
      <c r="K54" s="7"/>
      <c r="L54" s="7"/>
      <c r="M54" s="7"/>
      <c r="N54" s="7"/>
    </row>
    <row r="55" spans="1:15" ht="15" customHeight="1">
      <c r="B55" s="65"/>
      <c r="C55" s="8"/>
      <c r="D55" s="5"/>
      <c r="I55" s="19"/>
      <c r="L55" s="7"/>
      <c r="M55" s="7"/>
      <c r="N55" s="7"/>
    </row>
    <row r="56" spans="1:15" ht="15" customHeight="1">
      <c r="A56" s="65" t="s">
        <v>65</v>
      </c>
      <c r="B56" s="66" t="s">
        <v>70</v>
      </c>
      <c r="C56" s="67" t="s">
        <v>36</v>
      </c>
      <c r="D56" s="67" t="s">
        <v>37</v>
      </c>
      <c r="E56" s="68" t="s">
        <v>38</v>
      </c>
      <c r="F56" s="69" t="s">
        <v>39</v>
      </c>
      <c r="H56" s="20"/>
      <c r="J56" s="6"/>
      <c r="K56" s="7"/>
      <c r="L56" s="7"/>
      <c r="M56" s="7"/>
      <c r="N56" s="7"/>
      <c r="O56" s="39"/>
    </row>
    <row r="57" spans="1:15" ht="15" customHeight="1">
      <c r="A57" s="65" t="s">
        <v>65</v>
      </c>
      <c r="B57" s="66" t="s">
        <v>0</v>
      </c>
      <c r="C57" s="4" t="s">
        <v>1</v>
      </c>
      <c r="D57" s="4" t="s">
        <v>1</v>
      </c>
      <c r="E57" s="4" t="s">
        <v>27</v>
      </c>
      <c r="F57" s="4" t="s">
        <v>1</v>
      </c>
      <c r="H57" s="20"/>
      <c r="J57" s="6"/>
      <c r="K57" s="7"/>
      <c r="L57" s="7"/>
      <c r="M57" s="7"/>
      <c r="N57" s="7"/>
      <c r="O57" s="39"/>
    </row>
    <row r="58" spans="1:15" ht="15" customHeight="1">
      <c r="A58" s="65" t="s">
        <v>65</v>
      </c>
      <c r="B58" s="66"/>
      <c r="C58" s="9"/>
      <c r="D58" s="9"/>
      <c r="E58" s="9"/>
      <c r="F58" s="9"/>
      <c r="H58" s="20"/>
      <c r="J58" s="6"/>
      <c r="K58" s="7"/>
      <c r="L58" s="7"/>
      <c r="M58" s="7"/>
      <c r="N58" s="7"/>
      <c r="O58" s="39"/>
    </row>
    <row r="59" spans="1:15" s="70" customFormat="1" ht="15" customHeight="1">
      <c r="A59" s="65" t="s">
        <v>65</v>
      </c>
      <c r="B59" s="66"/>
      <c r="C59" s="9"/>
      <c r="D59" s="9"/>
      <c r="E59" s="9"/>
      <c r="F59" s="9"/>
    </row>
    <row r="60" spans="1:15" s="70" customFormat="1" ht="15" customHeight="1">
      <c r="A60" s="65" t="s">
        <v>65</v>
      </c>
      <c r="B60" s="66"/>
      <c r="C60" s="9"/>
      <c r="D60" s="9"/>
      <c r="E60" s="9"/>
      <c r="F60" s="9"/>
    </row>
    <row r="61" spans="1:15" s="70" customFormat="1" ht="15" customHeight="1">
      <c r="A61" s="65" t="s">
        <v>65</v>
      </c>
      <c r="B61" s="66"/>
      <c r="C61" s="9"/>
      <c r="D61" s="9"/>
      <c r="E61" s="9"/>
      <c r="F61" s="9"/>
    </row>
    <row r="62" spans="1:15" s="70" customFormat="1" ht="15" customHeight="1">
      <c r="A62" s="65" t="s">
        <v>65</v>
      </c>
      <c r="B62" s="66"/>
      <c r="C62" s="9"/>
      <c r="D62" s="9"/>
      <c r="E62" s="9"/>
      <c r="F62" s="9"/>
    </row>
    <row r="63" spans="1:15" s="70" customFormat="1" ht="15" customHeight="1">
      <c r="A63" s="65" t="s">
        <v>65</v>
      </c>
      <c r="B63" s="66"/>
      <c r="C63" s="9"/>
      <c r="D63" s="9"/>
      <c r="E63" s="9"/>
      <c r="F63" s="9"/>
    </row>
    <row r="64" spans="1:15" s="70" customFormat="1" ht="15" customHeight="1">
      <c r="A64" s="65" t="s">
        <v>65</v>
      </c>
      <c r="B64" s="66"/>
      <c r="C64" s="9"/>
      <c r="D64" s="9"/>
      <c r="E64" s="9"/>
      <c r="F64" s="9"/>
    </row>
    <row r="65" spans="1:6" s="70" customFormat="1" ht="15" customHeight="1">
      <c r="A65" s="65" t="s">
        <v>65</v>
      </c>
      <c r="B65" s="66"/>
      <c r="C65" s="9"/>
      <c r="D65" s="9"/>
      <c r="E65" s="9"/>
      <c r="F65" s="9"/>
    </row>
    <row r="66" spans="1:6" s="70" customFormat="1" ht="15" customHeight="1">
      <c r="A66" s="65" t="s">
        <v>65</v>
      </c>
      <c r="B66" s="66"/>
      <c r="C66" s="9"/>
      <c r="D66" s="9"/>
      <c r="E66" s="9"/>
      <c r="F66" s="9"/>
    </row>
    <row r="67" spans="1:6" s="70" customFormat="1" ht="15" customHeight="1">
      <c r="A67" s="65" t="s">
        <v>65</v>
      </c>
      <c r="B67" s="66"/>
      <c r="C67" s="9"/>
      <c r="D67" s="9"/>
      <c r="E67" s="9"/>
      <c r="F67" s="9"/>
    </row>
    <row r="68" spans="1:6" s="70" customFormat="1" ht="15" customHeight="1">
      <c r="A68" s="65" t="s">
        <v>65</v>
      </c>
      <c r="B68" s="66"/>
      <c r="C68" s="9"/>
      <c r="D68" s="9"/>
      <c r="E68" s="9"/>
      <c r="F68" s="9"/>
    </row>
    <row r="69" spans="1:6" s="70" customFormat="1" ht="15" customHeight="1">
      <c r="A69" s="65" t="s">
        <v>65</v>
      </c>
      <c r="B69" s="66"/>
      <c r="C69" s="9"/>
      <c r="D69" s="9"/>
      <c r="E69" s="9"/>
      <c r="F69" s="9"/>
    </row>
    <row r="70" spans="1:6" s="70" customFormat="1" ht="15" customHeight="1">
      <c r="A70" s="65" t="s">
        <v>65</v>
      </c>
      <c r="B70" s="66"/>
      <c r="C70" s="9"/>
      <c r="D70" s="9"/>
      <c r="E70" s="9"/>
      <c r="F70" s="9"/>
    </row>
    <row r="71" spans="1:6" s="70" customFormat="1" ht="15" customHeight="1">
      <c r="A71" s="65" t="s">
        <v>65</v>
      </c>
      <c r="B71" s="66"/>
      <c r="C71" s="9"/>
      <c r="D71" s="9"/>
      <c r="E71" s="9"/>
      <c r="F71" s="9"/>
    </row>
    <row r="72" spans="1:6" s="70" customFormat="1" ht="15" customHeight="1">
      <c r="A72" s="65" t="s">
        <v>65</v>
      </c>
      <c r="B72" s="66"/>
      <c r="C72" s="9"/>
      <c r="D72" s="9"/>
      <c r="E72" s="9"/>
      <c r="F72" s="9"/>
    </row>
    <row r="73" spans="1:6" s="70" customFormat="1" ht="15" customHeight="1">
      <c r="A73" s="65" t="s">
        <v>65</v>
      </c>
      <c r="B73" s="66"/>
      <c r="C73" s="9"/>
      <c r="D73" s="9"/>
      <c r="E73" s="9"/>
      <c r="F73" s="9"/>
    </row>
    <row r="74" spans="1:6" s="70" customFormat="1" ht="15" customHeight="1">
      <c r="A74" s="65" t="s">
        <v>65</v>
      </c>
      <c r="B74" s="66"/>
      <c r="C74" s="9"/>
      <c r="D74" s="9"/>
      <c r="E74" s="9"/>
      <c r="F74" s="9"/>
    </row>
    <row r="75" spans="1:6" s="70" customFormat="1" ht="15" customHeight="1">
      <c r="A75" s="65" t="s">
        <v>65</v>
      </c>
      <c r="B75" s="66"/>
      <c r="C75" s="9"/>
      <c r="D75" s="9"/>
      <c r="E75" s="9"/>
      <c r="F75" s="9"/>
    </row>
    <row r="76" spans="1:6" s="70" customFormat="1" ht="15" customHeight="1">
      <c r="A76" s="65" t="s">
        <v>65</v>
      </c>
      <c r="B76" s="66"/>
      <c r="C76" s="9"/>
      <c r="D76" s="9"/>
      <c r="E76" s="9"/>
      <c r="F76" s="9"/>
    </row>
    <row r="77" spans="1:6" s="70" customFormat="1" ht="15" customHeight="1">
      <c r="A77" s="65" t="s">
        <v>65</v>
      </c>
      <c r="B77" s="66"/>
      <c r="C77" s="9"/>
      <c r="D77" s="9"/>
      <c r="E77" s="9"/>
      <c r="F77" s="9"/>
    </row>
    <row r="78" spans="1:6" s="70" customFormat="1" ht="15" customHeight="1">
      <c r="A78" s="65" t="s">
        <v>65</v>
      </c>
      <c r="B78" s="66"/>
      <c r="C78" s="9"/>
      <c r="D78" s="9"/>
      <c r="E78" s="9"/>
      <c r="F78" s="9"/>
    </row>
    <row r="79" spans="1:6" s="70" customFormat="1" ht="15" customHeight="1">
      <c r="A79" s="65" t="s">
        <v>65</v>
      </c>
      <c r="B79" s="66"/>
      <c r="C79" s="9"/>
      <c r="D79" s="9"/>
      <c r="E79" s="9"/>
      <c r="F79" s="9"/>
    </row>
    <row r="80" spans="1:6" s="70" customFormat="1" ht="15" customHeight="1">
      <c r="A80" s="65" t="s">
        <v>65</v>
      </c>
      <c r="B80" s="66"/>
      <c r="C80" s="9"/>
      <c r="D80" s="9"/>
      <c r="E80" s="9"/>
      <c r="F80" s="9"/>
    </row>
    <row r="81" spans="1:15" s="70" customFormat="1" ht="15" customHeight="1">
      <c r="A81" s="65" t="s">
        <v>65</v>
      </c>
      <c r="B81" s="66"/>
      <c r="C81" s="9"/>
      <c r="D81" s="9"/>
      <c r="E81" s="9"/>
      <c r="F81" s="9"/>
    </row>
    <row r="82" spans="1:15" s="70" customFormat="1" ht="15" customHeight="1">
      <c r="A82" s="65" t="s">
        <v>65</v>
      </c>
      <c r="B82" s="66"/>
      <c r="C82" s="9"/>
      <c r="D82" s="9"/>
      <c r="E82" s="9"/>
      <c r="F82" s="9"/>
    </row>
    <row r="83" spans="1:15" s="70" customFormat="1" ht="15" customHeight="1">
      <c r="A83" s="65" t="s">
        <v>65</v>
      </c>
      <c r="B83" s="66"/>
      <c r="C83" s="9"/>
      <c r="D83" s="9"/>
      <c r="E83" s="9"/>
      <c r="F83" s="9"/>
    </row>
    <row r="84" spans="1:15" s="70" customFormat="1" ht="15" customHeight="1">
      <c r="A84" s="65" t="s">
        <v>65</v>
      </c>
      <c r="B84" s="66"/>
      <c r="C84" s="9"/>
      <c r="D84" s="9"/>
      <c r="E84" s="9"/>
      <c r="F84" s="9"/>
    </row>
    <row r="85" spans="1:15" s="70" customFormat="1" ht="15" customHeight="1">
      <c r="A85" s="65" t="s">
        <v>65</v>
      </c>
      <c r="B85" s="66"/>
      <c r="C85" s="9"/>
      <c r="D85" s="9"/>
      <c r="E85" s="9"/>
      <c r="F85" s="9"/>
    </row>
    <row r="86" spans="1:15" s="70" customFormat="1" ht="15" customHeight="1">
      <c r="A86" s="65" t="s">
        <v>65</v>
      </c>
      <c r="B86" s="66"/>
      <c r="C86" s="9"/>
      <c r="D86" s="9"/>
      <c r="E86" s="9"/>
      <c r="F86" s="9"/>
    </row>
    <row r="87" spans="1:15" s="70" customFormat="1" ht="15" customHeight="1">
      <c r="A87" s="65" t="s">
        <v>65</v>
      </c>
      <c r="B87" s="66"/>
      <c r="C87" s="9"/>
      <c r="D87" s="9"/>
      <c r="E87" s="9"/>
      <c r="F87" s="9"/>
    </row>
    <row r="88" spans="1:15" s="70" customFormat="1" ht="15" customHeight="1">
      <c r="A88" s="34"/>
    </row>
    <row r="89" spans="1:15" ht="15" customHeight="1">
      <c r="B89" s="11" t="s">
        <v>56</v>
      </c>
      <c r="C89" s="8"/>
      <c r="D89" s="5"/>
      <c r="H89" s="20"/>
      <c r="J89" s="6"/>
      <c r="K89" s="7"/>
      <c r="L89" s="7"/>
      <c r="M89" s="7"/>
      <c r="N89" s="7"/>
      <c r="O89" s="39"/>
    </row>
    <row r="90" spans="1:15" ht="15" customHeight="1">
      <c r="A90" s="74" t="s">
        <v>56</v>
      </c>
      <c r="B90" s="64" t="s">
        <v>26</v>
      </c>
      <c r="C90" s="10"/>
      <c r="D90" s="5" t="s">
        <v>2</v>
      </c>
      <c r="H90" s="20"/>
      <c r="J90" s="6"/>
      <c r="K90" s="7"/>
      <c r="L90" s="7"/>
      <c r="M90" s="7"/>
      <c r="N90" s="7"/>
      <c r="O90" s="39"/>
    </row>
    <row r="91" spans="1:15" ht="15" customHeight="1">
      <c r="A91" s="74" t="s">
        <v>56</v>
      </c>
      <c r="B91" s="65" t="s">
        <v>14</v>
      </c>
      <c r="C91" s="9"/>
      <c r="D91" s="5" t="s">
        <v>1</v>
      </c>
      <c r="H91" s="20"/>
      <c r="J91" s="6"/>
      <c r="K91" s="7"/>
      <c r="L91" s="7"/>
      <c r="M91" s="7"/>
      <c r="N91" s="7"/>
      <c r="O91" s="39"/>
    </row>
    <row r="92" spans="1:15" ht="15" customHeight="1">
      <c r="A92" s="74" t="s">
        <v>56</v>
      </c>
      <c r="B92" s="65" t="s">
        <v>3</v>
      </c>
      <c r="C92" s="9"/>
      <c r="D92" s="5" t="s">
        <v>12</v>
      </c>
      <c r="H92" s="20"/>
      <c r="J92" s="6"/>
      <c r="K92" s="7"/>
      <c r="L92" s="7"/>
      <c r="M92" s="7"/>
      <c r="N92" s="7"/>
      <c r="O92" s="39"/>
    </row>
    <row r="93" spans="1:15" ht="15" customHeight="1">
      <c r="A93" s="74" t="s">
        <v>56</v>
      </c>
      <c r="B93" s="65" t="s">
        <v>4</v>
      </c>
      <c r="C93" s="9"/>
      <c r="D93" s="5" t="s">
        <v>12</v>
      </c>
      <c r="F93" s="61"/>
      <c r="I93" s="19"/>
      <c r="L93" s="7"/>
      <c r="M93" s="7"/>
      <c r="N93" s="7"/>
      <c r="O93" s="39"/>
    </row>
    <row r="94" spans="1:15" ht="15" customHeight="1">
      <c r="A94" s="74" t="s">
        <v>56</v>
      </c>
      <c r="B94" s="65" t="s">
        <v>5</v>
      </c>
      <c r="C94" s="13"/>
      <c r="D94" s="5" t="s">
        <v>0</v>
      </c>
      <c r="I94" s="34"/>
      <c r="J94" s="34"/>
      <c r="K94" s="34"/>
      <c r="L94" s="34"/>
      <c r="M94" s="34"/>
      <c r="N94" s="34"/>
      <c r="O94" s="39"/>
    </row>
    <row r="95" spans="1:15" ht="15" customHeight="1">
      <c r="A95" s="74" t="s">
        <v>56</v>
      </c>
      <c r="B95" s="65" t="s">
        <v>23</v>
      </c>
      <c r="C95" s="8"/>
      <c r="D95" s="5" t="s">
        <v>1</v>
      </c>
      <c r="H95" s="20"/>
      <c r="J95" s="6"/>
      <c r="K95" s="7"/>
      <c r="L95" s="7"/>
      <c r="M95" s="7"/>
      <c r="N95" s="7"/>
      <c r="O95" s="39"/>
    </row>
    <row r="96" spans="1:15" ht="15" customHeight="1">
      <c r="B96" s="65"/>
      <c r="C96" s="8"/>
      <c r="D96" s="5"/>
      <c r="H96" s="20"/>
      <c r="J96" s="6"/>
      <c r="K96" s="7"/>
      <c r="L96" s="7"/>
      <c r="M96" s="7"/>
      <c r="N96" s="7"/>
      <c r="O96" s="39"/>
    </row>
    <row r="97" spans="1:15" ht="15" customHeight="1">
      <c r="B97" s="30" t="s">
        <v>60</v>
      </c>
      <c r="C97" s="4"/>
      <c r="D97" s="5"/>
      <c r="H97" s="20"/>
      <c r="J97" s="6"/>
      <c r="K97" s="7"/>
      <c r="L97" s="7"/>
      <c r="M97" s="7"/>
      <c r="N97" s="7"/>
      <c r="O97" s="39"/>
    </row>
    <row r="98" spans="1:15" ht="15" customHeight="1">
      <c r="B98" s="31" t="s">
        <v>13</v>
      </c>
      <c r="C98" s="4"/>
      <c r="D98" s="5"/>
      <c r="G98" s="16"/>
      <c r="H98" s="20"/>
      <c r="J98" s="6"/>
      <c r="K98" s="7"/>
      <c r="L98" s="7"/>
      <c r="M98" s="7"/>
      <c r="N98" s="7"/>
      <c r="O98" s="39"/>
    </row>
    <row r="99" spans="1:15" ht="15" customHeight="1">
      <c r="A99" s="3" t="s">
        <v>61</v>
      </c>
      <c r="B99" s="56" t="s">
        <v>15</v>
      </c>
      <c r="C99" s="10"/>
      <c r="D99" s="12" t="s">
        <v>2</v>
      </c>
      <c r="G99" s="4"/>
      <c r="H99" s="20"/>
      <c r="J99" s="6"/>
      <c r="K99" s="7"/>
      <c r="L99" s="7"/>
      <c r="M99" s="7"/>
      <c r="N99" s="7"/>
      <c r="O99" s="39"/>
    </row>
    <row r="100" spans="1:15" ht="15" customHeight="1">
      <c r="A100" s="3" t="s">
        <v>61</v>
      </c>
      <c r="B100" s="56" t="s">
        <v>16</v>
      </c>
      <c r="C100" s="9"/>
      <c r="D100" s="12" t="s">
        <v>1</v>
      </c>
      <c r="I100" s="19"/>
      <c r="L100" s="7"/>
      <c r="M100" s="7"/>
      <c r="N100" s="7"/>
      <c r="O100" s="39"/>
    </row>
    <row r="101" spans="1:15" ht="15" customHeight="1">
      <c r="A101" s="3" t="s">
        <v>61</v>
      </c>
      <c r="B101" s="56" t="s">
        <v>7</v>
      </c>
      <c r="C101" s="10"/>
      <c r="D101" s="12" t="s">
        <v>2</v>
      </c>
      <c r="I101" s="19"/>
      <c r="L101" s="7"/>
      <c r="M101" s="7"/>
      <c r="N101" s="7"/>
      <c r="O101" s="39"/>
    </row>
    <row r="102" spans="1:15" ht="15" customHeight="1">
      <c r="A102" s="3" t="s">
        <v>61</v>
      </c>
      <c r="B102" s="56" t="s">
        <v>14</v>
      </c>
      <c r="C102" s="9"/>
      <c r="D102" s="12" t="s">
        <v>1</v>
      </c>
      <c r="F102" s="56"/>
      <c r="I102" s="19"/>
      <c r="L102" s="7"/>
      <c r="M102" s="7"/>
      <c r="N102" s="7"/>
      <c r="O102" s="39"/>
    </row>
    <row r="103" spans="1:15" ht="15" customHeight="1">
      <c r="A103" s="3" t="s">
        <v>61</v>
      </c>
      <c r="B103" s="56" t="s">
        <v>3</v>
      </c>
      <c r="C103" s="9"/>
      <c r="D103" s="5" t="s">
        <v>12</v>
      </c>
      <c r="F103" s="56"/>
      <c r="L103" s="7"/>
      <c r="M103" s="7"/>
      <c r="N103" s="7"/>
      <c r="O103" s="39"/>
    </row>
    <row r="104" spans="1:15" ht="15" customHeight="1">
      <c r="A104" s="3" t="s">
        <v>61</v>
      </c>
      <c r="B104" s="56" t="s">
        <v>4</v>
      </c>
      <c r="C104" s="9"/>
      <c r="D104" s="5" t="s">
        <v>12</v>
      </c>
      <c r="F104" s="56"/>
    </row>
    <row r="105" spans="1:15" ht="15" customHeight="1">
      <c r="A105" s="3" t="s">
        <v>61</v>
      </c>
      <c r="B105" s="56" t="s">
        <v>5</v>
      </c>
      <c r="C105" s="13"/>
      <c r="D105" s="12" t="s">
        <v>0</v>
      </c>
      <c r="F105" s="56"/>
    </row>
    <row r="106" spans="1:15" ht="15" customHeight="1">
      <c r="A106" s="3" t="s">
        <v>61</v>
      </c>
      <c r="B106" s="56" t="s">
        <v>17</v>
      </c>
      <c r="C106" s="9"/>
      <c r="D106" s="12" t="s">
        <v>18</v>
      </c>
      <c r="F106" s="56"/>
    </row>
    <row r="107" spans="1:15" ht="15" customHeight="1">
      <c r="B107" s="56"/>
      <c r="C107" s="9"/>
      <c r="F107" s="56"/>
    </row>
    <row r="108" spans="1:15" ht="15" customHeight="1">
      <c r="B108" s="63" t="s">
        <v>28</v>
      </c>
      <c r="C108" s="10"/>
      <c r="F108" s="56"/>
    </row>
    <row r="109" spans="1:15" ht="15" customHeight="1">
      <c r="A109" s="3" t="s">
        <v>62</v>
      </c>
      <c r="B109" s="56" t="s">
        <v>15</v>
      </c>
      <c r="C109" s="10"/>
      <c r="D109" s="12" t="s">
        <v>2</v>
      </c>
      <c r="F109" s="56"/>
    </row>
    <row r="110" spans="1:15" ht="15" customHeight="1">
      <c r="A110" s="3" t="s">
        <v>62</v>
      </c>
      <c r="B110" s="56" t="s">
        <v>7</v>
      </c>
      <c r="C110" s="10"/>
      <c r="D110" s="12" t="s">
        <v>2</v>
      </c>
      <c r="F110" s="56"/>
    </row>
    <row r="111" spans="1:15" ht="15" customHeight="1">
      <c r="A111" s="3" t="s">
        <v>62</v>
      </c>
      <c r="B111" s="56" t="s">
        <v>14</v>
      </c>
      <c r="C111" s="9"/>
      <c r="D111" s="12" t="s">
        <v>1</v>
      </c>
      <c r="F111" s="56"/>
    </row>
    <row r="112" spans="1:15" ht="15" customHeight="1">
      <c r="A112" s="3" t="s">
        <v>62</v>
      </c>
      <c r="B112" s="65" t="s">
        <v>3</v>
      </c>
      <c r="C112" s="9"/>
      <c r="D112" s="5" t="s">
        <v>12</v>
      </c>
      <c r="F112" s="56"/>
    </row>
    <row r="113" spans="1:6" ht="15" customHeight="1">
      <c r="A113" s="3" t="s">
        <v>62</v>
      </c>
      <c r="B113" s="65" t="s">
        <v>4</v>
      </c>
      <c r="C113" s="9"/>
      <c r="D113" s="5" t="s">
        <v>12</v>
      </c>
      <c r="F113" s="56"/>
    </row>
    <row r="114" spans="1:6" ht="15" customHeight="1">
      <c r="A114" s="3" t="s">
        <v>62</v>
      </c>
      <c r="B114" s="65" t="s">
        <v>5</v>
      </c>
      <c r="C114" s="28"/>
      <c r="D114" s="12" t="s">
        <v>0</v>
      </c>
      <c r="F114" s="4"/>
    </row>
    <row r="115" spans="1:6" ht="15" customHeight="1">
      <c r="F115" s="4"/>
    </row>
    <row r="116" spans="1:6" ht="15" customHeight="1">
      <c r="B116" s="30" t="s">
        <v>57</v>
      </c>
      <c r="C116" s="4"/>
      <c r="D116" s="5"/>
      <c r="F116" s="56"/>
    </row>
    <row r="117" spans="1:6" ht="15" customHeight="1">
      <c r="B117" s="31" t="s">
        <v>13</v>
      </c>
      <c r="C117" s="4"/>
      <c r="D117" s="5"/>
      <c r="F117" s="56"/>
    </row>
    <row r="118" spans="1:6" ht="15" customHeight="1">
      <c r="A118" s="3" t="s">
        <v>58</v>
      </c>
      <c r="B118" s="65" t="s">
        <v>15</v>
      </c>
      <c r="C118" s="10">
        <v>143.07314628813501</v>
      </c>
      <c r="D118" s="12" t="s">
        <v>2</v>
      </c>
      <c r="F118" s="56"/>
    </row>
    <row r="119" spans="1:6" ht="15" customHeight="1">
      <c r="A119" s="3" t="s">
        <v>58</v>
      </c>
      <c r="B119" s="65" t="s">
        <v>16</v>
      </c>
      <c r="C119" s="9">
        <v>30.0010718113612</v>
      </c>
      <c r="D119" s="12" t="s">
        <v>1</v>
      </c>
      <c r="F119" s="56"/>
    </row>
    <row r="120" spans="1:6" ht="15" customHeight="1">
      <c r="A120" s="3" t="s">
        <v>58</v>
      </c>
      <c r="B120" s="56" t="s">
        <v>40</v>
      </c>
      <c r="C120" s="10">
        <v>-61.573604821235897</v>
      </c>
      <c r="D120" s="12" t="s">
        <v>2</v>
      </c>
      <c r="F120" s="56"/>
    </row>
    <row r="121" spans="1:6" ht="15" customHeight="1">
      <c r="A121" s="3" t="s">
        <v>58</v>
      </c>
      <c r="B121" s="56" t="s">
        <v>7</v>
      </c>
      <c r="C121" s="10">
        <v>142.568169012396</v>
      </c>
      <c r="D121" s="12" t="s">
        <v>2</v>
      </c>
    </row>
    <row r="122" spans="1:6" ht="15" customHeight="1">
      <c r="A122" s="3" t="s">
        <v>58</v>
      </c>
      <c r="B122" s="56" t="s">
        <v>14</v>
      </c>
      <c r="C122" s="9">
        <v>5.3578795655825396E-4</v>
      </c>
      <c r="D122" s="12" t="s">
        <v>1</v>
      </c>
    </row>
    <row r="123" spans="1:6" ht="15" customHeight="1">
      <c r="A123" s="3" t="s">
        <v>58</v>
      </c>
      <c r="B123" s="65" t="s">
        <v>17</v>
      </c>
      <c r="C123" s="9">
        <v>2.9901400476439699</v>
      </c>
      <c r="D123" s="12" t="s">
        <v>18</v>
      </c>
    </row>
    <row r="124" spans="1:6" ht="15" customHeight="1">
      <c r="B124" s="65"/>
      <c r="C124" s="9"/>
    </row>
    <row r="125" spans="1:6" ht="15" customHeight="1">
      <c r="B125" s="63" t="s">
        <v>28</v>
      </c>
      <c r="C125" s="13"/>
    </row>
    <row r="126" spans="1:6" ht="15" customHeight="1">
      <c r="A126" s="3" t="s">
        <v>59</v>
      </c>
      <c r="B126" s="65" t="s">
        <v>15</v>
      </c>
      <c r="C126" s="10">
        <v>125.257004163365</v>
      </c>
      <c r="D126" s="12" t="s">
        <v>2</v>
      </c>
    </row>
    <row r="127" spans="1:6" ht="15" customHeight="1">
      <c r="A127" s="3" t="s">
        <v>59</v>
      </c>
      <c r="B127" s="56" t="s">
        <v>40</v>
      </c>
      <c r="C127" s="10">
        <v>-54.952151398308899</v>
      </c>
      <c r="D127" s="12" t="s">
        <v>2</v>
      </c>
    </row>
    <row r="128" spans="1:6" ht="15" customHeight="1">
      <c r="A128" s="3" t="s">
        <v>59</v>
      </c>
      <c r="B128" s="56" t="s">
        <v>7</v>
      </c>
      <c r="C128" s="10">
        <v>135.94671558946899</v>
      </c>
      <c r="D128" s="12" t="s">
        <v>2</v>
      </c>
    </row>
    <row r="129" spans="1:4" ht="15" customHeight="1">
      <c r="A129" s="3" t="s">
        <v>59</v>
      </c>
      <c r="B129" s="56" t="s">
        <v>14</v>
      </c>
      <c r="C129" s="9">
        <v>5.3578795655825396E-4</v>
      </c>
      <c r="D129" s="12" t="s">
        <v>1</v>
      </c>
    </row>
    <row r="130" spans="1:4" ht="15" customHeight="1">
      <c r="B130" s="65"/>
      <c r="C130" s="10"/>
    </row>
    <row r="131" spans="1:4" ht="15" customHeight="1">
      <c r="B131" s="31" t="s">
        <v>66</v>
      </c>
    </row>
    <row r="132" spans="1:4" ht="15" customHeight="1">
      <c r="A132" s="5" t="s">
        <v>66</v>
      </c>
      <c r="B132" s="5" t="s">
        <v>23</v>
      </c>
      <c r="C132" s="29">
        <v>17.1138155560134</v>
      </c>
      <c r="D132" s="12" t="s">
        <v>1</v>
      </c>
    </row>
    <row r="133" spans="1:4" ht="15" customHeight="1">
      <c r="A133" s="5" t="s">
        <v>66</v>
      </c>
      <c r="B133" s="5" t="s">
        <v>24</v>
      </c>
      <c r="C133" s="15">
        <v>2.1746455552047101</v>
      </c>
      <c r="D133" s="12" t="s">
        <v>12</v>
      </c>
    </row>
    <row r="134" spans="1:4" ht="15" customHeight="1">
      <c r="A134" s="5" t="s">
        <v>66</v>
      </c>
      <c r="B134" s="5" t="s">
        <v>4</v>
      </c>
      <c r="C134" s="15">
        <v>1.85686508878589</v>
      </c>
      <c r="D134" s="12" t="s">
        <v>12</v>
      </c>
    </row>
    <row r="135" spans="1:4" ht="15" customHeight="1">
      <c r="A135" s="5" t="s">
        <v>66</v>
      </c>
      <c r="B135" s="5" t="s">
        <v>5</v>
      </c>
      <c r="C135" s="28">
        <v>0.454063634620539</v>
      </c>
      <c r="D135" s="12" t="s">
        <v>0</v>
      </c>
    </row>
  </sheetData>
  <phoneticPr fontId="1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DDE8F-4DC6-4E35-8E4F-65F342CBACAD}">
  <sheetPr codeName="Sheet4"/>
  <dimension ref="A1:AA93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1" width="24.7109375" style="78" customWidth="1"/>
    <col min="2" max="3" width="24.7109375" style="22" customWidth="1"/>
    <col min="4" max="6" width="9.140625" style="1"/>
    <col min="7" max="7" width="9.140625" style="51"/>
    <col min="8" max="9" width="9.140625" style="15"/>
    <col min="10" max="10" width="9.140625" style="51"/>
    <col min="11" max="12" width="9.140625" style="15"/>
    <col min="13" max="13" width="9.140625" style="51"/>
    <col min="14" max="15" width="9.140625" style="15"/>
    <col min="16" max="16" width="9.140625" style="51"/>
    <col min="17" max="18" width="9.140625" style="15"/>
    <col min="19" max="19" width="9.140625" style="51"/>
    <col min="20" max="21" width="9.140625" style="15"/>
    <col min="22" max="22" width="9.140625" style="51"/>
    <col min="23" max="24" width="9.140625" style="15"/>
    <col min="25" max="25" width="9.140625" style="51"/>
    <col min="26" max="27" width="9.140625" style="15"/>
    <col min="28" max="16384" width="9.140625" style="38"/>
  </cols>
  <sheetData>
    <row r="1" spans="1:27" s="48" customFormat="1" ht="15" customHeight="1">
      <c r="A1" s="23" t="s">
        <v>54</v>
      </c>
      <c r="B1" s="22"/>
      <c r="C1" s="22"/>
      <c r="G1" s="40"/>
      <c r="H1" s="41"/>
      <c r="I1" s="41"/>
      <c r="J1" s="40"/>
      <c r="K1" s="41"/>
      <c r="L1" s="41"/>
      <c r="M1" s="40"/>
      <c r="N1" s="41"/>
      <c r="O1" s="41"/>
      <c r="P1" s="40"/>
      <c r="Q1" s="41"/>
      <c r="R1" s="41"/>
      <c r="S1" s="40"/>
      <c r="T1" s="41"/>
      <c r="U1" s="41"/>
      <c r="V1" s="49"/>
      <c r="W1" s="41"/>
      <c r="X1" s="41"/>
      <c r="Y1" s="49"/>
      <c r="Z1" s="41"/>
      <c r="AA1" s="41"/>
    </row>
    <row r="2" spans="1:27" s="48" customFormat="1" ht="15" customHeight="1">
      <c r="A2" s="22"/>
      <c r="B2" s="22"/>
      <c r="C2" s="22"/>
      <c r="G2" s="40"/>
      <c r="H2" s="42"/>
      <c r="I2" s="42"/>
      <c r="J2" s="40"/>
      <c r="K2" s="42"/>
      <c r="L2" s="42"/>
      <c r="M2" s="40"/>
      <c r="N2" s="43"/>
      <c r="O2" s="43"/>
      <c r="P2" s="43"/>
      <c r="Q2" s="42"/>
      <c r="R2" s="42"/>
      <c r="S2" s="49"/>
      <c r="T2" s="42"/>
      <c r="U2" s="42"/>
      <c r="V2" s="49"/>
      <c r="W2" s="42"/>
      <c r="X2" s="42"/>
      <c r="Y2" s="49"/>
      <c r="Z2" s="42"/>
      <c r="AA2" s="42"/>
    </row>
    <row r="3" spans="1:27" s="50" customFormat="1" ht="15" customHeight="1">
      <c r="A3" s="24" t="s">
        <v>75</v>
      </c>
      <c r="B3" s="24" t="s">
        <v>76</v>
      </c>
      <c r="C3" s="24" t="s">
        <v>77</v>
      </c>
      <c r="G3" s="44"/>
      <c r="H3" s="45"/>
      <c r="I3" s="45"/>
      <c r="J3" s="44"/>
      <c r="K3" s="45"/>
      <c r="L3" s="15"/>
      <c r="M3" s="51"/>
      <c r="N3" s="15"/>
      <c r="O3" s="15"/>
      <c r="P3" s="51"/>
      <c r="Q3" s="15"/>
      <c r="R3" s="45"/>
      <c r="S3" s="52"/>
      <c r="T3" s="45"/>
      <c r="U3" s="45"/>
      <c r="V3" s="52"/>
      <c r="W3" s="45"/>
      <c r="X3" s="45"/>
      <c r="Y3" s="52"/>
      <c r="Z3" s="45"/>
      <c r="AA3" s="45"/>
    </row>
    <row r="4" spans="1:27" s="53" customFormat="1" ht="15" customHeight="1">
      <c r="A4" s="22" t="s">
        <v>25</v>
      </c>
      <c r="B4" s="22" t="s">
        <v>1</v>
      </c>
      <c r="C4" s="22" t="s">
        <v>2</v>
      </c>
      <c r="G4" s="46"/>
      <c r="H4" s="47"/>
      <c r="I4" s="47"/>
      <c r="J4" s="46"/>
      <c r="K4" s="47"/>
      <c r="L4" s="15"/>
      <c r="M4" s="51"/>
      <c r="N4" s="15"/>
      <c r="O4" s="15"/>
      <c r="P4" s="51"/>
      <c r="Q4" s="15"/>
      <c r="R4" s="47"/>
      <c r="S4" s="54"/>
      <c r="T4" s="47"/>
      <c r="U4" s="47"/>
      <c r="V4" s="54"/>
      <c r="W4" s="47"/>
      <c r="X4" s="47"/>
      <c r="Y4" s="54"/>
      <c r="Z4" s="47"/>
      <c r="AA4" s="47"/>
    </row>
    <row r="5" spans="1:27" ht="14.25">
      <c r="A5" s="78">
        <v>0</v>
      </c>
      <c r="B5" s="22">
        <v>0</v>
      </c>
      <c r="C5" s="22">
        <v>7.2422146813263497</v>
      </c>
    </row>
    <row r="6" spans="1:27" ht="14.25">
      <c r="A6" s="78">
        <v>0.40824829046386302</v>
      </c>
      <c r="B6" s="22">
        <v>-1.51285930408343E-3</v>
      </c>
      <c r="C6" s="22">
        <v>7.4491351007928204</v>
      </c>
    </row>
    <row r="7" spans="1:27" ht="14.25">
      <c r="A7" s="78">
        <v>0.81649658092772603</v>
      </c>
      <c r="B7" s="22">
        <v>5.0428643469597101E-4</v>
      </c>
      <c r="C7" s="22">
        <v>8.5428573179727199</v>
      </c>
    </row>
    <row r="8" spans="1:27" ht="14.25">
      <c r="A8" s="78">
        <v>1.2247448713915901</v>
      </c>
      <c r="B8" s="22">
        <v>1.00857286938993E-2</v>
      </c>
      <c r="C8" s="22">
        <v>10.3460209733234</v>
      </c>
    </row>
    <row r="9" spans="1:27" ht="14.25">
      <c r="A9" s="78">
        <v>1.6329931618554501</v>
      </c>
      <c r="B9" s="22">
        <v>2.5214321734747001E-2</v>
      </c>
      <c r="C9" s="22">
        <v>12.7699458870734</v>
      </c>
    </row>
    <row r="10" spans="1:27" ht="14.25">
      <c r="A10" s="78">
        <v>2.0412414523193201</v>
      </c>
      <c r="B10" s="22">
        <v>4.6394351991933001E-2</v>
      </c>
      <c r="C10" s="22">
        <v>15.9624323588418</v>
      </c>
    </row>
    <row r="11" spans="1:27" ht="14.25">
      <c r="A11" s="78">
        <v>2.4494897427831801</v>
      </c>
      <c r="B11" s="22">
        <v>8.1190115985881106E-2</v>
      </c>
      <c r="C11" s="22">
        <v>19.893920328704599</v>
      </c>
    </row>
    <row r="12" spans="1:27" ht="14.25">
      <c r="A12" s="78">
        <v>2.8577380332470401</v>
      </c>
      <c r="B12" s="22">
        <v>0.131114473020677</v>
      </c>
      <c r="C12" s="22">
        <v>24.357489377195598</v>
      </c>
    </row>
    <row r="13" spans="1:27" ht="14.25">
      <c r="A13" s="78">
        <v>3.2659863237109001</v>
      </c>
      <c r="B13" s="22">
        <v>0.20221886031265901</v>
      </c>
      <c r="C13" s="22">
        <v>29.707860223399901</v>
      </c>
    </row>
    <row r="14" spans="1:27" ht="14.25">
      <c r="A14" s="78">
        <v>3.6742346141747699</v>
      </c>
      <c r="B14" s="22">
        <v>0.31265758951084399</v>
      </c>
      <c r="C14" s="22">
        <v>35.649432268079899</v>
      </c>
    </row>
    <row r="15" spans="1:27" ht="14.25">
      <c r="A15" s="78">
        <v>4.0824829046386304</v>
      </c>
      <c r="B15" s="22">
        <v>0.50832072617246704</v>
      </c>
      <c r="C15" s="22">
        <v>42.270885691006903</v>
      </c>
    </row>
    <row r="16" spans="1:27" ht="14.25">
      <c r="A16" s="78">
        <v>4.49073119510249</v>
      </c>
      <c r="B16" s="22">
        <v>0.86737266767524002</v>
      </c>
      <c r="C16" s="22">
        <v>49.4539802524857</v>
      </c>
    </row>
    <row r="17" spans="1:3" ht="14.25">
      <c r="A17" s="78">
        <v>4.8989794855663602</v>
      </c>
      <c r="B17" s="22">
        <v>1.4266263237518899</v>
      </c>
      <c r="C17" s="22">
        <v>57.582996731525498</v>
      </c>
    </row>
    <row r="18" spans="1:3" ht="14.25">
      <c r="A18" s="78">
        <v>5.3072277760302198</v>
      </c>
      <c r="B18" s="22">
        <v>2.03429147755925</v>
      </c>
      <c r="C18" s="22">
        <v>66.451014708659798</v>
      </c>
    </row>
    <row r="19" spans="1:3" ht="14.25">
      <c r="A19" s="78">
        <v>5.7154760664940802</v>
      </c>
      <c r="B19" s="22">
        <v>2.6197680282400402</v>
      </c>
      <c r="C19" s="22">
        <v>75.998914064041003</v>
      </c>
    </row>
    <row r="20" spans="1:3" ht="14.25">
      <c r="A20" s="78">
        <v>6.1237243569579496</v>
      </c>
      <c r="B20" s="22">
        <v>3.1114473020675799</v>
      </c>
      <c r="C20" s="22">
        <v>85.960654258355206</v>
      </c>
    </row>
    <row r="21" spans="1:3" ht="14.25">
      <c r="A21" s="78">
        <v>6.5319726474218101</v>
      </c>
      <c r="B21" s="22">
        <v>3.47302067574382</v>
      </c>
      <c r="C21" s="22">
        <v>97.045676729773106</v>
      </c>
    </row>
    <row r="22" spans="1:3" ht="14.25">
      <c r="A22" s="78">
        <v>6.9402209378856696</v>
      </c>
      <c r="B22" s="22">
        <v>3.7508825012607199</v>
      </c>
      <c r="C22" s="22">
        <v>108.692340339743</v>
      </c>
    </row>
    <row r="23" spans="1:3" ht="14.25">
      <c r="A23" s="78">
        <v>7.3484692283495301</v>
      </c>
      <c r="B23" s="22">
        <v>3.9929399899142699</v>
      </c>
      <c r="C23" s="22">
        <v>120.871085028341</v>
      </c>
    </row>
    <row r="24" spans="1:3" ht="14.25">
      <c r="A24" s="78">
        <v>7.7567175188134003</v>
      </c>
      <c r="B24" s="22">
        <v>4.2178517397882</v>
      </c>
      <c r="C24" s="22">
        <v>133.93663151465199</v>
      </c>
    </row>
    <row r="25" spans="1:3" ht="14.25">
      <c r="A25" s="78">
        <v>8.1649658092772608</v>
      </c>
      <c r="B25" s="22">
        <v>4.4316691880988399</v>
      </c>
      <c r="C25" s="22">
        <v>147.53425907959101</v>
      </c>
    </row>
    <row r="26" spans="1:3" ht="14.25">
      <c r="A26" s="78">
        <v>8.5732140997411204</v>
      </c>
      <c r="B26" s="22">
        <v>4.6263237518910696</v>
      </c>
      <c r="C26" s="22">
        <v>161.959568322396</v>
      </c>
    </row>
    <row r="27" spans="1:3" ht="14.25">
      <c r="A27" s="78">
        <v>8.9814623902049906</v>
      </c>
      <c r="B27" s="22">
        <v>4.8093797276853296</v>
      </c>
      <c r="C27" s="22">
        <v>177.18299918314401</v>
      </c>
    </row>
    <row r="28" spans="1:3" ht="14.25">
      <c r="A28" s="78">
        <v>9.3897106806688502</v>
      </c>
      <c r="B28" s="22">
        <v>4.98134140191629</v>
      </c>
      <c r="C28" s="22">
        <v>192.84983094274699</v>
      </c>
    </row>
    <row r="29" spans="1:3" ht="14.25">
      <c r="A29" s="78">
        <v>9.7979589711327097</v>
      </c>
      <c r="B29" s="22">
        <v>5.1452344931921301</v>
      </c>
      <c r="C29" s="22">
        <v>209.52170473976</v>
      </c>
    </row>
    <row r="30" spans="1:3" ht="14.25">
      <c r="A30" s="78">
        <v>10.2062072615966</v>
      </c>
      <c r="B30" s="22">
        <v>5.3025718608169496</v>
      </c>
      <c r="C30" s="22">
        <v>226.57785931578201</v>
      </c>
    </row>
    <row r="31" spans="1:3" ht="14.25">
      <c r="A31" s="78">
        <v>10.6144555520604</v>
      </c>
      <c r="B31" s="22">
        <v>5.4528492183560298</v>
      </c>
      <c r="C31" s="22">
        <v>244.52081568951701</v>
      </c>
    </row>
    <row r="32" spans="1:3" ht="14.25">
      <c r="A32" s="78">
        <v>11.022703842524299</v>
      </c>
      <c r="B32" s="22">
        <v>5.5945537065052999</v>
      </c>
      <c r="C32" s="22">
        <v>260.15808738919702</v>
      </c>
    </row>
    <row r="33" spans="1:3" ht="14.25">
      <c r="A33" s="78">
        <v>11.4309521329882</v>
      </c>
      <c r="B33" s="22">
        <v>5.6530509329299097</v>
      </c>
      <c r="C33" s="22">
        <v>260.03984714950201</v>
      </c>
    </row>
    <row r="34" spans="1:3" ht="14.25">
      <c r="A34" s="78">
        <v>11.839200423452001</v>
      </c>
      <c r="B34" s="22">
        <v>5.6838124054462904</v>
      </c>
      <c r="C34" s="22">
        <v>259.921606909807</v>
      </c>
    </row>
    <row r="35" spans="1:3" ht="14.25">
      <c r="A35" s="78">
        <v>12.247448713915899</v>
      </c>
      <c r="B35" s="22">
        <v>5.7044881492687898</v>
      </c>
      <c r="C35" s="22">
        <v>259.921606909807</v>
      </c>
    </row>
    <row r="36" spans="1:3" ht="14.25">
      <c r="A36" s="78">
        <v>12.6556970043798</v>
      </c>
      <c r="B36" s="22">
        <v>5.7211296016137201</v>
      </c>
      <c r="C36" s="22">
        <v>259.98072702965402</v>
      </c>
    </row>
    <row r="37" spans="1:3" ht="14.25">
      <c r="A37" s="78">
        <v>13.063945294843601</v>
      </c>
      <c r="B37" s="22">
        <v>5.73474533535048</v>
      </c>
      <c r="C37" s="22">
        <v>260.09896726934898</v>
      </c>
    </row>
    <row r="38" spans="1:3" ht="14.25">
      <c r="A38" s="78">
        <v>13.472193585307499</v>
      </c>
      <c r="B38" s="22">
        <v>5.7458396369137699</v>
      </c>
      <c r="C38" s="22">
        <v>260.03984714950201</v>
      </c>
    </row>
    <row r="39" spans="1:3" ht="14.25">
      <c r="A39" s="78">
        <v>13.8804418757713</v>
      </c>
      <c r="B39" s="22">
        <v>5.7579425113464504</v>
      </c>
      <c r="C39" s="22">
        <v>259.83292673003501</v>
      </c>
    </row>
    <row r="40" spans="1:3" ht="14.25">
      <c r="A40" s="78">
        <v>14.288690166235201</v>
      </c>
      <c r="B40" s="22">
        <v>5.7675239536056502</v>
      </c>
      <c r="C40" s="22">
        <v>260.15808738919702</v>
      </c>
    </row>
    <row r="41" spans="1:3" ht="14.25">
      <c r="A41" s="78">
        <v>14.696938456699099</v>
      </c>
      <c r="B41" s="22">
        <v>5.7776096822995502</v>
      </c>
      <c r="C41" s="22">
        <v>260.03984714950201</v>
      </c>
    </row>
    <row r="42" spans="1:3" ht="14.25">
      <c r="A42" s="78">
        <v>15.1051867471629</v>
      </c>
      <c r="B42" s="22">
        <v>5.7876954109934502</v>
      </c>
      <c r="C42" s="22">
        <v>259.98072702965402</v>
      </c>
    </row>
    <row r="43" spans="1:3" ht="14.25">
      <c r="A43" s="78">
        <v>15.513435037626801</v>
      </c>
      <c r="B43" s="22">
        <v>5.7952597075138703</v>
      </c>
      <c r="C43" s="22">
        <v>260.03984714950201</v>
      </c>
    </row>
    <row r="44" spans="1:3" ht="14.25">
      <c r="A44" s="78">
        <v>15.921683328090699</v>
      </c>
      <c r="B44" s="22">
        <v>5.8043368633383796</v>
      </c>
      <c r="C44" s="22">
        <v>259.95116696973002</v>
      </c>
    </row>
    <row r="45" spans="1:3" ht="14.25">
      <c r="A45" s="78">
        <v>16.3299316185545</v>
      </c>
      <c r="B45" s="22">
        <v>5.8119011598587997</v>
      </c>
      <c r="C45" s="22">
        <v>260.069407209426</v>
      </c>
    </row>
    <row r="46" spans="1:3" ht="14.25">
      <c r="A46" s="78">
        <v>16.738179909018399</v>
      </c>
      <c r="B46" s="22">
        <v>5.8199697428139201</v>
      </c>
      <c r="C46" s="22">
        <v>259.83292673003501</v>
      </c>
    </row>
    <row r="47" spans="1:3" ht="14.25">
      <c r="A47" s="78">
        <v>17.146428199482202</v>
      </c>
      <c r="B47" s="22">
        <v>5.8280383257690396</v>
      </c>
      <c r="C47" s="22">
        <v>259.892046849883</v>
      </c>
    </row>
    <row r="48" spans="1:3" ht="14.25">
      <c r="A48" s="78">
        <v>17.5546764899461</v>
      </c>
      <c r="B48" s="22">
        <v>5.8366111951588504</v>
      </c>
      <c r="C48" s="22">
        <v>260.069407209426</v>
      </c>
    </row>
    <row r="49" spans="1:3" ht="14.25">
      <c r="A49" s="78">
        <v>17.962924780409999</v>
      </c>
      <c r="B49" s="22">
        <v>5.8456883509833597</v>
      </c>
      <c r="C49" s="22">
        <v>259.95116696973002</v>
      </c>
    </row>
    <row r="50" spans="1:3" ht="14.25">
      <c r="A50" s="78">
        <v>18.371173070873802</v>
      </c>
      <c r="B50" s="22">
        <v>5.8527483610690902</v>
      </c>
      <c r="C50" s="22">
        <v>260.069407209426</v>
      </c>
    </row>
    <row r="51" spans="1:3" ht="14.25">
      <c r="A51" s="78">
        <v>18.7794213613377</v>
      </c>
      <c r="B51" s="22">
        <v>5.8608169440242097</v>
      </c>
      <c r="C51" s="22">
        <v>259.892046849883</v>
      </c>
    </row>
    <row r="52" spans="1:3" ht="14.25">
      <c r="A52" s="78">
        <v>19.187669651801599</v>
      </c>
      <c r="B52" s="22">
        <v>5.8678769541099403</v>
      </c>
      <c r="C52" s="22">
        <v>259.83292673003501</v>
      </c>
    </row>
    <row r="53" spans="1:3" ht="14.25">
      <c r="A53" s="78">
        <v>19.595917942265402</v>
      </c>
      <c r="B53" s="22">
        <v>5.8749369641956699</v>
      </c>
      <c r="C53" s="22">
        <v>260.069407209426</v>
      </c>
    </row>
    <row r="54" spans="1:3" ht="14.25">
      <c r="A54" s="78">
        <v>20.0041662327293</v>
      </c>
      <c r="B54" s="22">
        <v>5.880988401412</v>
      </c>
      <c r="C54" s="22">
        <v>260.15808738919702</v>
      </c>
    </row>
    <row r="55" spans="1:3" ht="14.25">
      <c r="A55" s="78">
        <v>20.412414523193199</v>
      </c>
      <c r="B55" s="22">
        <v>5.8885526979324299</v>
      </c>
      <c r="C55" s="22">
        <v>259.95116696973002</v>
      </c>
    </row>
    <row r="56" spans="1:3" ht="14.25">
      <c r="A56" s="78">
        <v>20.820662813656998</v>
      </c>
      <c r="B56" s="22">
        <v>5.8951084215834602</v>
      </c>
      <c r="C56" s="22">
        <v>260.03984714950201</v>
      </c>
    </row>
    <row r="57" spans="1:3" ht="14.25">
      <c r="A57" s="78">
        <v>21.2289111041209</v>
      </c>
      <c r="B57" s="22">
        <v>5.9026727181038803</v>
      </c>
      <c r="C57" s="22">
        <v>260.12852732927303</v>
      </c>
    </row>
    <row r="58" spans="1:3" ht="14.25">
      <c r="A58" s="78">
        <v>21.6371593945847</v>
      </c>
      <c r="B58" s="22">
        <v>5.9082198688855296</v>
      </c>
      <c r="C58" s="22">
        <v>259.83292673003501</v>
      </c>
    </row>
    <row r="59" spans="1:3" ht="14.25">
      <c r="A59" s="78">
        <v>22.045407685048598</v>
      </c>
      <c r="B59" s="22">
        <v>5.9152798789712602</v>
      </c>
      <c r="C59" s="22">
        <v>260.12852732927303</v>
      </c>
    </row>
    <row r="60" spans="1:3" ht="14.25">
      <c r="A60" s="78">
        <v>22.4536559755125</v>
      </c>
      <c r="B60" s="22">
        <v>5.9213313161876</v>
      </c>
      <c r="C60" s="22">
        <v>259.892046849883</v>
      </c>
    </row>
    <row r="61" spans="1:3" ht="14.25">
      <c r="A61" s="78">
        <v>22.8619042659763</v>
      </c>
      <c r="B61" s="22">
        <v>5.92637418053455</v>
      </c>
      <c r="C61" s="22">
        <v>260.03984714950201</v>
      </c>
    </row>
    <row r="62" spans="1:3" ht="14.25">
      <c r="A62" s="78">
        <v>23.270152556440198</v>
      </c>
      <c r="B62" s="22">
        <v>5.9319213313161896</v>
      </c>
      <c r="C62" s="22">
        <v>259.921606909807</v>
      </c>
    </row>
    <row r="63" spans="1:3" ht="14.25">
      <c r="A63" s="78">
        <v>23.678400846904101</v>
      </c>
      <c r="B63" s="22">
        <v>5.9359556227937498</v>
      </c>
      <c r="C63" s="22">
        <v>259.71468649034</v>
      </c>
    </row>
    <row r="64" spans="1:3" ht="14.25">
      <c r="A64" s="78">
        <v>24.0866491373679</v>
      </c>
      <c r="B64" s="22">
        <v>5.9409984871406998</v>
      </c>
      <c r="C64" s="22">
        <v>259.77380661018799</v>
      </c>
    </row>
    <row r="65" spans="1:3" ht="14.25">
      <c r="A65" s="78">
        <v>24.494897427831798</v>
      </c>
      <c r="B65" s="22">
        <v>5.9460413514876498</v>
      </c>
      <c r="C65" s="22">
        <v>260.33544774874002</v>
      </c>
    </row>
    <row r="66" spans="1:3" ht="14.25">
      <c r="A66" s="78">
        <v>24.903145718295601</v>
      </c>
      <c r="B66" s="22">
        <v>5.9505799293999004</v>
      </c>
      <c r="C66" s="22">
        <v>260.21720750904399</v>
      </c>
    </row>
    <row r="67" spans="1:3" ht="14.25">
      <c r="A67" s="78">
        <v>25.3113940087595</v>
      </c>
      <c r="B67" s="22">
        <v>5.9556227937468504</v>
      </c>
      <c r="C67" s="22">
        <v>259.95116696973002</v>
      </c>
    </row>
    <row r="68" spans="1:3" ht="14.25">
      <c r="A68" s="78">
        <v>25.719642299223398</v>
      </c>
      <c r="B68" s="22">
        <v>5.9601613716591002</v>
      </c>
      <c r="C68" s="22">
        <v>260.15808738919702</v>
      </c>
    </row>
    <row r="69" spans="1:3" ht="14.25">
      <c r="A69" s="78">
        <v>26.127890589687201</v>
      </c>
      <c r="B69" s="22">
        <v>5.9652042360060502</v>
      </c>
      <c r="C69" s="22">
        <v>260.30588768881597</v>
      </c>
    </row>
    <row r="70" spans="1:3" ht="14.25">
      <c r="A70" s="78">
        <v>26.5361388801511</v>
      </c>
      <c r="B70" s="22">
        <v>5.9697428139183097</v>
      </c>
      <c r="C70" s="22">
        <v>260.01028708957801</v>
      </c>
    </row>
    <row r="71" spans="1:3" ht="14.25">
      <c r="A71" s="78">
        <v>26.944387170614998</v>
      </c>
      <c r="B71" s="22">
        <v>5.9732728189611697</v>
      </c>
      <c r="C71" s="22">
        <v>260.09896726934898</v>
      </c>
    </row>
    <row r="72" spans="1:3" ht="14.25">
      <c r="A72" s="78">
        <v>27.352635461078801</v>
      </c>
      <c r="B72" s="22">
        <v>5.9768028240040403</v>
      </c>
      <c r="C72" s="22">
        <v>259.921606909807</v>
      </c>
    </row>
    <row r="73" spans="1:3" ht="14.25">
      <c r="A73" s="78">
        <v>27.7608837515427</v>
      </c>
      <c r="B73" s="22">
        <v>5.98134140191629</v>
      </c>
      <c r="C73" s="22">
        <v>259.98072702965402</v>
      </c>
    </row>
    <row r="74" spans="1:3" ht="14.25">
      <c r="A74" s="78">
        <v>28.169132042006499</v>
      </c>
      <c r="B74" s="22">
        <v>5.98487140695915</v>
      </c>
      <c r="C74" s="22">
        <v>260.27632762889198</v>
      </c>
    </row>
    <row r="75" spans="1:3" ht="14.25">
      <c r="A75" s="78">
        <v>28.577380332470401</v>
      </c>
      <c r="B75" s="22">
        <v>5.9889056984367102</v>
      </c>
      <c r="C75" s="22">
        <v>259.80336667011198</v>
      </c>
    </row>
    <row r="76" spans="1:3" ht="14.25">
      <c r="A76" s="78">
        <v>28.9856286229343</v>
      </c>
      <c r="B76" s="22">
        <v>5.9919314170448796</v>
      </c>
      <c r="C76" s="22">
        <v>260.18764744912102</v>
      </c>
    </row>
    <row r="77" spans="1:3" ht="14.25">
      <c r="A77" s="78">
        <v>29.393876913398099</v>
      </c>
      <c r="B77" s="22">
        <v>5.9969742813918296</v>
      </c>
      <c r="C77" s="22">
        <v>260.48324804835801</v>
      </c>
    </row>
    <row r="78" spans="1:3" ht="14.25">
      <c r="A78" s="78">
        <v>29.802125203862001</v>
      </c>
      <c r="B78" s="22">
        <v>6</v>
      </c>
      <c r="C78" s="22">
        <v>260.12852732927303</v>
      </c>
    </row>
    <row r="79" spans="1:3" ht="14.25">
      <c r="A79" s="78">
        <v>30.2103734943259</v>
      </c>
      <c r="B79" s="22">
        <v>6.0035300050428697</v>
      </c>
      <c r="C79" s="22">
        <v>260.24676756896798</v>
      </c>
    </row>
    <row r="80" spans="1:3" ht="14.25">
      <c r="A80" s="78">
        <v>30.618621784789699</v>
      </c>
      <c r="B80" s="22">
        <v>6.0075642965204299</v>
      </c>
      <c r="C80" s="22">
        <v>259.86248678995901</v>
      </c>
    </row>
    <row r="81" spans="1:3" ht="14.25">
      <c r="A81" s="78">
        <v>31.026870075253601</v>
      </c>
      <c r="B81" s="22">
        <v>6.0100857286939</v>
      </c>
      <c r="C81" s="22">
        <v>260.15808738919702</v>
      </c>
    </row>
    <row r="82" spans="1:3" ht="14.25">
      <c r="A82" s="78">
        <v>31.4351183657175</v>
      </c>
      <c r="B82" s="22">
        <v>6.0136157337367697</v>
      </c>
      <c r="C82" s="22">
        <v>259.41908589110199</v>
      </c>
    </row>
    <row r="83" spans="1:3" ht="14.25">
      <c r="A83" s="78">
        <v>31.843366656181299</v>
      </c>
      <c r="B83" s="22">
        <v>6.0146243066061604</v>
      </c>
      <c r="C83" s="22">
        <v>259.77380661018799</v>
      </c>
    </row>
    <row r="84" spans="1:3" ht="14.25">
      <c r="A84" s="78">
        <v>32.251614946645198</v>
      </c>
      <c r="B84" s="22">
        <v>6.0181543116490204</v>
      </c>
      <c r="C84" s="22">
        <v>260.03984714950201</v>
      </c>
    </row>
    <row r="85" spans="1:3" ht="14.25">
      <c r="A85" s="78">
        <v>32.659863237109001</v>
      </c>
      <c r="B85" s="22">
        <v>6.0211800302571898</v>
      </c>
      <c r="C85" s="22">
        <v>259.74424655026399</v>
      </c>
    </row>
    <row r="86" spans="1:3" ht="14.25">
      <c r="A86" s="78">
        <v>33.068111527572903</v>
      </c>
      <c r="B86" s="22">
        <v>6.0242057488653602</v>
      </c>
      <c r="C86" s="22">
        <v>259.892046849883</v>
      </c>
    </row>
    <row r="87" spans="1:3" ht="14.25">
      <c r="A87" s="78">
        <v>33.476359818036798</v>
      </c>
      <c r="B87" s="22">
        <v>6.0272314674735297</v>
      </c>
      <c r="C87" s="22">
        <v>260.24676756896798</v>
      </c>
    </row>
    <row r="88" spans="1:3" ht="14.25">
      <c r="A88" s="78">
        <v>33.884608108500601</v>
      </c>
      <c r="B88" s="22">
        <v>6.0307614725163896</v>
      </c>
      <c r="C88" s="22">
        <v>259.86248678995901</v>
      </c>
    </row>
    <row r="89" spans="1:3" ht="14.25">
      <c r="A89" s="78">
        <v>34.292856398964503</v>
      </c>
      <c r="B89" s="22">
        <v>6.0347957639939498</v>
      </c>
      <c r="C89" s="22">
        <v>260.21720750904399</v>
      </c>
    </row>
    <row r="90" spans="1:3" ht="14.25">
      <c r="A90" s="78">
        <v>34.701104689428398</v>
      </c>
      <c r="B90" s="22">
        <v>6.0378214826021201</v>
      </c>
      <c r="C90" s="22">
        <v>260.01028708957801</v>
      </c>
    </row>
    <row r="91" spans="1:3" ht="14.25">
      <c r="A91" s="78">
        <v>35.109352979892201</v>
      </c>
      <c r="B91" s="22">
        <v>6.0423600605143699</v>
      </c>
      <c r="C91" s="22">
        <v>259.83292673003501</v>
      </c>
    </row>
    <row r="92" spans="1:3" ht="14.25">
      <c r="A92" s="78">
        <v>35.517601270356103</v>
      </c>
      <c r="B92" s="22">
        <v>6.0443772062531496</v>
      </c>
      <c r="C92" s="22">
        <v>259.892046849883</v>
      </c>
    </row>
    <row r="93" spans="1:3" ht="14.25">
      <c r="A93" s="78">
        <v>35.744230303644798</v>
      </c>
      <c r="B93" s="22">
        <v>6.0458900655572396</v>
      </c>
      <c r="C93" s="22">
        <v>259.83292673003501</v>
      </c>
    </row>
  </sheetData>
  <sortState xmlns:xlrd2="http://schemas.microsoft.com/office/spreadsheetml/2017/richdata2" ref="A4:C4">
    <sortCondition ref="A3"/>
  </sortState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FD586-46F5-4F09-9FC6-1A1DD0133B41}">
  <dimension ref="A1:AA173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1" width="24.7109375" style="78" customWidth="1"/>
    <col min="2" max="3" width="24.7109375" style="22" customWidth="1"/>
    <col min="4" max="5" width="9.140625" style="22"/>
    <col min="6" max="6" width="9.140625" style="1"/>
    <col min="7" max="7" width="9.140625" style="51"/>
    <col min="8" max="9" width="9.140625" style="15"/>
    <col min="10" max="10" width="9.140625" style="51"/>
    <col min="11" max="12" width="9.140625" style="15"/>
    <col min="13" max="13" width="9.140625" style="51"/>
    <col min="14" max="15" width="9.140625" style="15"/>
    <col min="16" max="16" width="9.140625" style="51"/>
    <col min="17" max="18" width="9.140625" style="15"/>
    <col min="19" max="19" width="9.140625" style="51"/>
    <col min="20" max="21" width="9.140625" style="15"/>
    <col min="22" max="22" width="9.140625" style="51"/>
    <col min="23" max="24" width="9.140625" style="15"/>
    <col min="25" max="25" width="9.140625" style="51"/>
    <col min="26" max="27" width="9.140625" style="15"/>
    <col min="28" max="16384" width="9.140625" style="38"/>
  </cols>
  <sheetData>
    <row r="1" spans="1:27" s="48" customFormat="1" ht="15" customHeight="1">
      <c r="A1" s="23" t="s">
        <v>55</v>
      </c>
      <c r="B1" s="22"/>
      <c r="C1" s="22"/>
      <c r="G1" s="40"/>
      <c r="H1" s="41"/>
      <c r="I1" s="41"/>
      <c r="J1" s="40"/>
      <c r="K1" s="41"/>
      <c r="L1" s="41"/>
      <c r="M1" s="40"/>
      <c r="N1" s="41"/>
      <c r="O1" s="41"/>
      <c r="P1" s="40"/>
      <c r="Q1" s="41"/>
      <c r="R1" s="41"/>
      <c r="S1" s="40"/>
      <c r="T1" s="41"/>
      <c r="U1" s="41"/>
      <c r="V1" s="49"/>
      <c r="W1" s="41"/>
      <c r="X1" s="41"/>
      <c r="Y1" s="49"/>
      <c r="Z1" s="41"/>
      <c r="AA1" s="41"/>
    </row>
    <row r="2" spans="1:27" s="48" customFormat="1" ht="14.25">
      <c r="A2" s="22"/>
      <c r="B2" s="22"/>
      <c r="C2" s="22"/>
      <c r="G2" s="40"/>
      <c r="H2" s="42"/>
      <c r="I2" s="42"/>
      <c r="J2" s="40"/>
      <c r="K2" s="42"/>
      <c r="L2" s="42"/>
      <c r="M2" s="40"/>
      <c r="N2" s="43"/>
      <c r="O2" s="43"/>
      <c r="P2" s="43"/>
      <c r="Q2" s="42"/>
      <c r="R2" s="42"/>
      <c r="S2" s="49"/>
      <c r="T2" s="42"/>
      <c r="U2" s="42"/>
      <c r="V2" s="49"/>
      <c r="W2" s="42"/>
      <c r="X2" s="42"/>
      <c r="Y2" s="49"/>
      <c r="Z2" s="42"/>
      <c r="AA2" s="42"/>
    </row>
    <row r="3" spans="1:27" s="50" customFormat="1" ht="15" customHeight="1">
      <c r="A3" s="24" t="s">
        <v>75</v>
      </c>
      <c r="B3" s="24" t="s">
        <v>76</v>
      </c>
      <c r="C3" s="24" t="s">
        <v>77</v>
      </c>
      <c r="G3" s="44"/>
      <c r="H3" s="45"/>
      <c r="I3" s="45"/>
      <c r="J3" s="44"/>
      <c r="K3" s="45"/>
      <c r="L3" s="15"/>
      <c r="M3" s="51"/>
      <c r="N3" s="15"/>
      <c r="O3" s="15"/>
      <c r="P3" s="51"/>
      <c r="Q3" s="15"/>
      <c r="R3" s="45"/>
      <c r="S3" s="52"/>
      <c r="T3" s="45"/>
      <c r="U3" s="45"/>
      <c r="V3" s="52"/>
      <c r="W3" s="45"/>
      <c r="X3" s="45"/>
      <c r="Y3" s="52"/>
      <c r="Z3" s="45"/>
      <c r="AA3" s="45"/>
    </row>
    <row r="4" spans="1:27" s="53" customFormat="1" ht="15" customHeight="1">
      <c r="A4" s="22" t="s">
        <v>25</v>
      </c>
      <c r="B4" s="22" t="s">
        <v>1</v>
      </c>
      <c r="C4" s="22" t="s">
        <v>2</v>
      </c>
      <c r="G4" s="46"/>
      <c r="H4" s="47"/>
      <c r="I4" s="47"/>
      <c r="J4" s="46"/>
      <c r="K4" s="47"/>
      <c r="L4" s="15"/>
      <c r="M4" s="51"/>
      <c r="N4" s="15"/>
      <c r="O4" s="15"/>
      <c r="P4" s="51"/>
      <c r="Q4" s="15"/>
      <c r="R4" s="47"/>
      <c r="S4" s="54"/>
      <c r="T4" s="47"/>
      <c r="U4" s="47"/>
      <c r="V4" s="54"/>
      <c r="W4" s="47"/>
      <c r="X4" s="47"/>
      <c r="Y4" s="54"/>
      <c r="Z4" s="47"/>
      <c r="AA4" s="47"/>
    </row>
    <row r="5" spans="1:27" ht="15" customHeight="1">
      <c r="A5" s="78">
        <v>35.744230303644798</v>
      </c>
      <c r="B5" s="22">
        <v>6.0449424603374702</v>
      </c>
      <c r="C5" s="22">
        <v>259.83292673003501</v>
      </c>
      <c r="D5" s="1"/>
      <c r="E5" s="1"/>
    </row>
    <row r="6" spans="1:27" ht="14.25">
      <c r="A6" s="78">
        <v>35.746561606211401</v>
      </c>
      <c r="B6" s="22">
        <v>6.0459510433791603</v>
      </c>
      <c r="C6" s="22">
        <v>259.56688619072099</v>
      </c>
    </row>
    <row r="7" spans="1:27" ht="14.25">
      <c r="A7" s="78">
        <v>35.7535546018388</v>
      </c>
      <c r="B7" s="22">
        <v>6.0459510433791603</v>
      </c>
      <c r="C7" s="22">
        <v>259.21216547163601</v>
      </c>
    </row>
    <row r="8" spans="1:27" ht="14.25">
      <c r="A8" s="78">
        <v>35.765206556092998</v>
      </c>
      <c r="B8" s="22">
        <v>6.0449424603374702</v>
      </c>
      <c r="C8" s="22">
        <v>257.73416247544702</v>
      </c>
    </row>
    <row r="9" spans="1:27" ht="14.25">
      <c r="A9" s="78">
        <v>35.781512917520203</v>
      </c>
      <c r="B9" s="22">
        <v>6.0449424603374702</v>
      </c>
      <c r="C9" s="22">
        <v>255.842318640325</v>
      </c>
    </row>
    <row r="10" spans="1:27" ht="14.25">
      <c r="A10" s="78">
        <v>35.802467326521899</v>
      </c>
      <c r="B10" s="22">
        <v>6.0444381688166304</v>
      </c>
      <c r="C10" s="22">
        <v>253.59575408611701</v>
      </c>
    </row>
    <row r="11" spans="1:27" ht="14.25">
      <c r="A11" s="78">
        <v>35.828061627724203</v>
      </c>
      <c r="B11" s="22">
        <v>6.04342958577495</v>
      </c>
      <c r="C11" s="22">
        <v>250.87622857312999</v>
      </c>
    </row>
    <row r="12" spans="1:27" ht="14.25">
      <c r="A12" s="78">
        <v>35.858285885784703</v>
      </c>
      <c r="B12" s="22">
        <v>6.0419167112124201</v>
      </c>
      <c r="C12" s="22">
        <v>247.772422281133</v>
      </c>
    </row>
    <row r="13" spans="1:27" ht="14.25">
      <c r="A13" s="78">
        <v>35.893128404566099</v>
      </c>
      <c r="B13" s="22">
        <v>6.0398995451290496</v>
      </c>
      <c r="C13" s="22">
        <v>243.72269407157501</v>
      </c>
    </row>
    <row r="14" spans="1:27" ht="14.25">
      <c r="A14" s="78">
        <v>35.932575749589702</v>
      </c>
      <c r="B14" s="22">
        <v>6.0388909620873603</v>
      </c>
      <c r="C14" s="22">
        <v>239.761646041788</v>
      </c>
    </row>
    <row r="15" spans="1:27" ht="15" customHeight="1">
      <c r="A15" s="78">
        <v>35.976612773671</v>
      </c>
      <c r="B15" s="22">
        <v>6.0373780875248402</v>
      </c>
      <c r="C15" s="22">
        <v>235.06159651390701</v>
      </c>
      <c r="S15" s="55"/>
    </row>
    <row r="16" spans="1:27" ht="14.25">
      <c r="A16" s="78">
        <v>36.025222645622399</v>
      </c>
      <c r="B16" s="22">
        <v>6.0343523383997804</v>
      </c>
      <c r="C16" s="22">
        <v>229.79990584747401</v>
      </c>
    </row>
    <row r="17" spans="1:3" ht="14.25">
      <c r="A17" s="78">
        <v>36.078386881899299</v>
      </c>
      <c r="B17" s="22">
        <v>6.0323351723164098</v>
      </c>
      <c r="C17" s="22">
        <v>224.006134102413</v>
      </c>
    </row>
    <row r="18" spans="1:3" ht="14.25">
      <c r="A18" s="78">
        <v>36.136085381051799</v>
      </c>
      <c r="B18" s="22">
        <v>6.02880513167052</v>
      </c>
      <c r="C18" s="22">
        <v>218.005441937885</v>
      </c>
    </row>
    <row r="19" spans="1:3" ht="14.25">
      <c r="A19" s="78">
        <v>36.198296460837298</v>
      </c>
      <c r="B19" s="22">
        <v>6.0252750910246196</v>
      </c>
      <c r="C19" s="22">
        <v>211.295308335187</v>
      </c>
    </row>
    <row r="20" spans="1:3" ht="14.25">
      <c r="A20" s="78">
        <v>36.264996897835204</v>
      </c>
      <c r="B20" s="22">
        <v>6.0212407588578802</v>
      </c>
      <c r="C20" s="22">
        <v>204.082653713784</v>
      </c>
    </row>
    <row r="21" spans="1:3" ht="14.25">
      <c r="A21" s="78">
        <v>36.336161969402703</v>
      </c>
      <c r="B21" s="22">
        <v>6.0167021351703003</v>
      </c>
      <c r="C21" s="22">
        <v>196.27879789390599</v>
      </c>
    </row>
    <row r="22" spans="1:3" ht="14.25">
      <c r="A22" s="78">
        <v>36.411765497798498</v>
      </c>
      <c r="B22" s="22">
        <v>6.0121635114827203</v>
      </c>
      <c r="C22" s="22">
        <v>187.9428609954</v>
      </c>
    </row>
    <row r="23" spans="1:3" ht="14.25">
      <c r="A23" s="78">
        <v>36.491779896299903</v>
      </c>
      <c r="B23" s="22">
        <v>6.0061120132326096</v>
      </c>
      <c r="C23" s="22">
        <v>179.31132349765599</v>
      </c>
    </row>
    <row r="24" spans="1:3" ht="14.25">
      <c r="A24" s="78">
        <v>36.576176217131597</v>
      </c>
      <c r="B24" s="22">
        <v>5.9990519319408202</v>
      </c>
      <c r="C24" s="22">
        <v>170.206825041131</v>
      </c>
    </row>
    <row r="25" spans="1:3" ht="14.25">
      <c r="A25" s="78">
        <v>36.664924201021698</v>
      </c>
      <c r="B25" s="22">
        <v>5.9924961421698697</v>
      </c>
      <c r="C25" s="22">
        <v>160.62936562582601</v>
      </c>
    </row>
    <row r="26" spans="1:3" ht="14.25">
      <c r="A26" s="78">
        <v>36.757992328199897</v>
      </c>
      <c r="B26" s="22">
        <v>5.9824103117530196</v>
      </c>
      <c r="C26" s="22">
        <v>150.224224532655</v>
      </c>
    </row>
    <row r="27" spans="1:3" ht="14.25">
      <c r="A27" s="78">
        <v>36.855347870650597</v>
      </c>
      <c r="B27" s="22">
        <v>5.9733330643778597</v>
      </c>
      <c r="C27" s="22">
        <v>139.58260296009399</v>
      </c>
    </row>
    <row r="28" spans="1:3" ht="14.25">
      <c r="A28" s="78">
        <v>36.956956945434101</v>
      </c>
      <c r="B28" s="22">
        <v>5.9627429424401699</v>
      </c>
      <c r="C28" s="22">
        <v>128.55670060852401</v>
      </c>
    </row>
    <row r="29" spans="1:3" ht="14.25">
      <c r="A29" s="78">
        <v>37.062784568890699</v>
      </c>
      <c r="B29" s="22">
        <v>5.9501356544191104</v>
      </c>
      <c r="C29" s="22">
        <v>116.732676639011</v>
      </c>
    </row>
    <row r="30" spans="1:3" ht="14.25">
      <c r="A30" s="78">
        <v>37.172794711545002</v>
      </c>
      <c r="B30" s="22">
        <v>5.9355112003146804</v>
      </c>
      <c r="C30" s="22">
        <v>104.642612130185</v>
      </c>
    </row>
    <row r="31" spans="1:3" ht="14.25">
      <c r="A31" s="78">
        <v>37.286950353530699</v>
      </c>
      <c r="B31" s="22">
        <v>5.9183652886060401</v>
      </c>
      <c r="C31" s="22">
        <v>91.961346422882798</v>
      </c>
    </row>
    <row r="32" spans="1:3" ht="14.25">
      <c r="A32" s="78">
        <v>37.405213540360897</v>
      </c>
      <c r="B32" s="22">
        <v>5.9002107938557096</v>
      </c>
      <c r="C32" s="22">
        <v>80.905884011388693</v>
      </c>
    </row>
    <row r="33" spans="1:3" ht="14.25">
      <c r="A33" s="78">
        <v>37.527545438872799</v>
      </c>
      <c r="B33" s="22">
        <v>5.8956721701681296</v>
      </c>
      <c r="C33" s="22">
        <v>81.024124251083805</v>
      </c>
    </row>
    <row r="34" spans="1:3" ht="14.25">
      <c r="A34" s="78">
        <v>37.653906393184101</v>
      </c>
      <c r="B34" s="22">
        <v>5.8946635871264501</v>
      </c>
      <c r="C34" s="22">
        <v>80.965004131236299</v>
      </c>
    </row>
    <row r="35" spans="1:3" ht="14.25">
      <c r="A35" s="78">
        <v>37.784255980500703</v>
      </c>
      <c r="B35" s="22">
        <v>5.8926464210430796</v>
      </c>
      <c r="C35" s="22">
        <v>80.876323951464897</v>
      </c>
    </row>
    <row r="36" spans="1:3" ht="14.25">
      <c r="A36" s="78">
        <v>37.918553066627801</v>
      </c>
      <c r="B36" s="22">
        <v>5.8926464210430796</v>
      </c>
      <c r="C36" s="22">
        <v>81.024124251083805</v>
      </c>
    </row>
    <row r="37" spans="1:3" ht="14.25">
      <c r="A37" s="78">
        <v>38.056755861038198</v>
      </c>
      <c r="B37" s="22">
        <v>5.8916378380013903</v>
      </c>
      <c r="C37" s="22">
        <v>81.024124251083805</v>
      </c>
    </row>
    <row r="38" spans="1:3" ht="14.25">
      <c r="A38" s="78">
        <v>38.198821971364502</v>
      </c>
      <c r="B38" s="22">
        <v>5.8911335464805497</v>
      </c>
      <c r="C38" s="22">
        <v>81.024124251083805</v>
      </c>
    </row>
    <row r="39" spans="1:3" ht="14.25">
      <c r="A39" s="78">
        <v>38.344708457186996</v>
      </c>
      <c r="B39" s="22">
        <v>5.8911335464805497</v>
      </c>
      <c r="C39" s="22">
        <v>80.935444071312503</v>
      </c>
    </row>
    <row r="40" spans="1:3" ht="14.25">
      <c r="A40" s="78">
        <v>38.494371882999602</v>
      </c>
      <c r="B40" s="22">
        <v>5.8901249634388702</v>
      </c>
      <c r="C40" s="22">
        <v>81.083244370931396</v>
      </c>
    </row>
    <row r="41" spans="1:3" ht="14.25">
      <c r="A41" s="78">
        <v>38.647768370243597</v>
      </c>
      <c r="B41" s="22">
        <v>5.8896206719180197</v>
      </c>
      <c r="C41" s="22">
        <v>81.053684311007601</v>
      </c>
    </row>
    <row r="42" spans="1:3" ht="14.25">
      <c r="A42" s="78">
        <v>38.8048536483088</v>
      </c>
      <c r="B42" s="22">
        <v>5.8896206719180197</v>
      </c>
      <c r="C42" s="22">
        <v>81.024124251083805</v>
      </c>
    </row>
    <row r="43" spans="1:3" ht="14.25">
      <c r="A43" s="78">
        <v>38.965583104409802</v>
      </c>
      <c r="B43" s="22">
        <v>5.8896206719180197</v>
      </c>
      <c r="C43" s="22">
        <v>80.965004131236299</v>
      </c>
    </row>
    <row r="44" spans="1:3" ht="14.25">
      <c r="A44" s="78">
        <v>39.1299118322544</v>
      </c>
      <c r="B44" s="22">
        <v>5.8886120888763402</v>
      </c>
      <c r="C44" s="22">
        <v>81.053684311007601</v>
      </c>
    </row>
    <row r="45" spans="1:3" ht="14.25">
      <c r="A45" s="78">
        <v>39.297794679430403</v>
      </c>
      <c r="B45" s="22">
        <v>5.88911638039718</v>
      </c>
      <c r="C45" s="22">
        <v>80.965004131236299</v>
      </c>
    </row>
    <row r="46" spans="1:3" ht="14.25">
      <c r="A46" s="78">
        <v>39.469186293444999</v>
      </c>
      <c r="B46" s="22">
        <v>5.8901249634388702</v>
      </c>
      <c r="C46" s="22">
        <v>81.053684311007601</v>
      </c>
    </row>
    <row r="47" spans="1:3" ht="14.25">
      <c r="A47" s="78">
        <v>39.644041166359401</v>
      </c>
      <c r="B47" s="22">
        <v>5.8906292549597099</v>
      </c>
      <c r="C47" s="22">
        <v>80.905884011388693</v>
      </c>
    </row>
    <row r="48" spans="1:3" ht="14.25">
      <c r="A48" s="78">
        <v>39.822313677970399</v>
      </c>
      <c r="B48" s="22">
        <v>5.8911335464805497</v>
      </c>
      <c r="C48" s="22">
        <v>80.994564191159995</v>
      </c>
    </row>
    <row r="49" spans="1:3" ht="14.25">
      <c r="A49" s="78">
        <v>40.003958137497698</v>
      </c>
      <c r="B49" s="22">
        <v>5.8911335464805497</v>
      </c>
      <c r="C49" s="22">
        <v>80.935444071312503</v>
      </c>
    </row>
    <row r="50" spans="1:3" ht="14.25">
      <c r="A50" s="78">
        <v>40.188928823744497</v>
      </c>
      <c r="B50" s="22">
        <v>5.8911335464805497</v>
      </c>
      <c r="C50" s="22">
        <v>80.935444071312503</v>
      </c>
    </row>
    <row r="51" spans="1:3" ht="14.25">
      <c r="A51" s="78">
        <v>40.377180023704803</v>
      </c>
      <c r="B51" s="22">
        <v>5.8916378380013903</v>
      </c>
      <c r="C51" s="22">
        <v>80.935444071312503</v>
      </c>
    </row>
    <row r="52" spans="1:3" ht="14.25">
      <c r="A52" s="78">
        <v>40.568666069599402</v>
      </c>
      <c r="B52" s="22">
        <v>5.8916378380013903</v>
      </c>
      <c r="C52" s="22">
        <v>80.994564191159995</v>
      </c>
    </row>
    <row r="53" spans="1:3" ht="14.25">
      <c r="A53" s="78">
        <v>40.763341374328</v>
      </c>
      <c r="B53" s="22">
        <v>5.8911335464805497</v>
      </c>
      <c r="C53" s="22">
        <v>80.965004131236299</v>
      </c>
    </row>
    <row r="54" spans="1:3" ht="14.25">
      <c r="A54" s="78">
        <v>40.961160465331901</v>
      </c>
      <c r="B54" s="22">
        <v>5.8906292549597099</v>
      </c>
      <c r="C54" s="22">
        <v>80.935444071312503</v>
      </c>
    </row>
    <row r="55" spans="1:3" ht="14.25">
      <c r="A55" s="78">
        <v>41.162078016867298</v>
      </c>
      <c r="B55" s="22">
        <v>5.8901249634388702</v>
      </c>
      <c r="C55" s="22">
        <v>80.994564191159995</v>
      </c>
    </row>
    <row r="56" spans="1:3" ht="14.25">
      <c r="A56" s="78">
        <v>41.3660488806944</v>
      </c>
      <c r="B56" s="22">
        <v>5.8906292549597099</v>
      </c>
      <c r="C56" s="22">
        <v>81.112804430855107</v>
      </c>
    </row>
    <row r="57" spans="1:3" ht="14.25">
      <c r="A57" s="78">
        <v>41.573028115193502</v>
      </c>
      <c r="B57" s="22">
        <v>5.8906292549597099</v>
      </c>
      <c r="C57" s="22">
        <v>81.024124251083805</v>
      </c>
    </row>
    <row r="58" spans="1:3" ht="14.25">
      <c r="A58" s="78">
        <v>41.782971012921799</v>
      </c>
      <c r="B58" s="22">
        <v>5.8901249634388702</v>
      </c>
      <c r="C58" s="22">
        <v>81.053684311007601</v>
      </c>
    </row>
    <row r="59" spans="1:3" ht="14.25">
      <c r="A59" s="78">
        <v>41.995833126632903</v>
      </c>
      <c r="B59" s="22">
        <v>5.8886120888763402</v>
      </c>
      <c r="C59" s="22">
        <v>81.053684311007601</v>
      </c>
    </row>
    <row r="60" spans="1:3" ht="14.25">
      <c r="A60" s="78">
        <v>42.211570293779197</v>
      </c>
      <c r="B60" s="22">
        <v>5.88911638039718</v>
      </c>
      <c r="C60" s="22">
        <v>80.965004131236299</v>
      </c>
    </row>
    <row r="61" spans="1:3" ht="14.25">
      <c r="A61" s="78">
        <v>42.430138659526797</v>
      </c>
      <c r="B61" s="22">
        <v>5.8886120888763402</v>
      </c>
      <c r="C61" s="22">
        <v>80.965004131236299</v>
      </c>
    </row>
    <row r="62" spans="1:3" ht="14.25">
      <c r="A62" s="78">
        <v>42.651494698310401</v>
      </c>
      <c r="B62" s="22">
        <v>5.8896206719180197</v>
      </c>
      <c r="C62" s="22">
        <v>80.905884011388693</v>
      </c>
    </row>
    <row r="63" spans="1:3" ht="14.25">
      <c r="A63" s="78">
        <v>42.875595233963402</v>
      </c>
      <c r="B63" s="22">
        <v>5.8886120888763402</v>
      </c>
      <c r="C63" s="22">
        <v>80.994564191159995</v>
      </c>
    </row>
    <row r="64" spans="1:3" ht="14.25">
      <c r="A64" s="78">
        <v>43.1023974584554</v>
      </c>
      <c r="B64" s="22">
        <v>5.8886120888763402</v>
      </c>
      <c r="C64" s="22">
        <v>80.994564191159995</v>
      </c>
    </row>
    <row r="65" spans="1:3" ht="14.25">
      <c r="A65" s="78">
        <v>43.331858949276601</v>
      </c>
      <c r="B65" s="22">
        <v>5.8886120888763402</v>
      </c>
      <c r="C65" s="22">
        <v>80.965004131236299</v>
      </c>
    </row>
    <row r="66" spans="1:3" ht="14.25">
      <c r="A66" s="78">
        <v>43.563937685506197</v>
      </c>
      <c r="B66" s="22">
        <v>5.8896206719180197</v>
      </c>
      <c r="C66" s="22">
        <v>80.846763891541102</v>
      </c>
    </row>
    <row r="67" spans="1:3" ht="14.25">
      <c r="A67" s="78">
        <v>43.798592062607099</v>
      </c>
      <c r="B67" s="22">
        <v>5.8901249634388702</v>
      </c>
      <c r="C67" s="22">
        <v>81.053684311007601</v>
      </c>
    </row>
    <row r="68" spans="1:3" ht="14.25">
      <c r="A68" s="78">
        <v>44.035780905986002</v>
      </c>
      <c r="B68" s="22">
        <v>5.8896206719180197</v>
      </c>
      <c r="C68" s="22">
        <v>81.024124251083805</v>
      </c>
    </row>
    <row r="69" spans="1:3" ht="14.25">
      <c r="A69" s="78">
        <v>44.275463483363602</v>
      </c>
      <c r="B69" s="22">
        <v>5.8896206719180197</v>
      </c>
      <c r="C69" s="22">
        <v>81.112804430855107</v>
      </c>
    </row>
    <row r="70" spans="1:3" ht="14.25">
      <c r="A70" s="78">
        <v>44.5175995159967</v>
      </c>
      <c r="B70" s="22">
        <v>5.88911638039718</v>
      </c>
      <c r="C70" s="22">
        <v>80.935444071312503</v>
      </c>
    </row>
    <row r="71" spans="1:3" ht="14.25">
      <c r="A71" s="78">
        <v>44.762149188795703</v>
      </c>
      <c r="B71" s="22">
        <v>5.88911638039718</v>
      </c>
      <c r="C71" s="22">
        <v>81.024124251083805</v>
      </c>
    </row>
    <row r="72" spans="1:3" ht="14.25">
      <c r="A72" s="78">
        <v>45.009073159382702</v>
      </c>
      <c r="B72" s="22">
        <v>5.8896206719180197</v>
      </c>
      <c r="C72" s="22">
        <v>80.935444071312503</v>
      </c>
    </row>
    <row r="73" spans="1:3" ht="14.25">
      <c r="A73" s="78">
        <v>45.258332566132701</v>
      </c>
      <c r="B73" s="22">
        <v>5.8901249634388702</v>
      </c>
      <c r="C73" s="22">
        <v>80.965004131236299</v>
      </c>
    </row>
    <row r="74" spans="1:3" ht="14.25">
      <c r="A74" s="78">
        <v>45.509889035241599</v>
      </c>
      <c r="B74" s="22">
        <v>5.88911638039718</v>
      </c>
      <c r="C74" s="22">
        <v>80.994564191159995</v>
      </c>
    </row>
    <row r="75" spans="1:3" ht="14.25">
      <c r="A75" s="78">
        <v>45.7637046868658</v>
      </c>
      <c r="B75" s="22">
        <v>5.8886120888763402</v>
      </c>
      <c r="C75" s="22">
        <v>81.024124251083805</v>
      </c>
    </row>
    <row r="76" spans="1:3" ht="14.25">
      <c r="A76" s="78">
        <v>46.019742140375698</v>
      </c>
      <c r="B76" s="22">
        <v>5.88911638039718</v>
      </c>
      <c r="C76" s="22">
        <v>80.965004131236299</v>
      </c>
    </row>
    <row r="77" spans="1:3" ht="14.25">
      <c r="A77" s="78">
        <v>46.2779645187642</v>
      </c>
      <c r="B77" s="22">
        <v>5.88911638039718</v>
      </c>
      <c r="C77" s="22">
        <v>81.024124251083805</v>
      </c>
    </row>
    <row r="78" spans="1:3" ht="14.25">
      <c r="A78" s="78">
        <v>46.538335452255602</v>
      </c>
      <c r="B78" s="22">
        <v>5.88911638039718</v>
      </c>
      <c r="C78" s="22">
        <v>80.846763891541102</v>
      </c>
    </row>
    <row r="79" spans="1:3" ht="14.25">
      <c r="A79" s="78">
        <v>46.800819081151403</v>
      </c>
      <c r="B79" s="22">
        <v>5.8881077973554996</v>
      </c>
      <c r="C79" s="22">
        <v>80.935444071312503</v>
      </c>
    </row>
    <row r="80" spans="1:3" ht="14.25">
      <c r="A80" s="78">
        <v>47.065380057957697</v>
      </c>
      <c r="B80" s="22">
        <v>5.88911638039718</v>
      </c>
      <c r="C80" s="22">
        <v>80.965004131236299</v>
      </c>
    </row>
    <row r="81" spans="1:3" ht="14.25">
      <c r="A81" s="78">
        <v>47.331983548829498</v>
      </c>
      <c r="B81" s="22">
        <v>5.8886120888763402</v>
      </c>
      <c r="C81" s="22">
        <v>80.905884011388693</v>
      </c>
    </row>
    <row r="82" spans="1:3" ht="14.25">
      <c r="A82" s="78">
        <v>47.6005952343736</v>
      </c>
      <c r="B82" s="22">
        <v>5.8886120888763402</v>
      </c>
      <c r="C82" s="22">
        <v>80.994564191159995</v>
      </c>
    </row>
    <row r="83" spans="1:3" ht="14.25">
      <c r="A83" s="78">
        <v>47.871181309844403</v>
      </c>
      <c r="B83" s="22">
        <v>5.88911638039718</v>
      </c>
      <c r="C83" s="22">
        <v>80.905884011388693</v>
      </c>
    </row>
    <row r="84" spans="1:3" ht="14.25">
      <c r="A84" s="78">
        <v>48.143708484771601</v>
      </c>
      <c r="B84" s="22">
        <v>5.8881077973554996</v>
      </c>
      <c r="C84" s="22">
        <v>80.965004131236299</v>
      </c>
    </row>
    <row r="85" spans="1:3" ht="14.25">
      <c r="A85" s="78">
        <v>48.418143982051497</v>
      </c>
      <c r="B85" s="22">
        <v>5.8886120888763402</v>
      </c>
      <c r="C85" s="22">
        <v>80.965004131236299</v>
      </c>
    </row>
    <row r="86" spans="1:3" ht="14.25">
      <c r="A86" s="78">
        <v>48.694455536539301</v>
      </c>
      <c r="B86" s="22">
        <v>5.88911638039718</v>
      </c>
      <c r="C86" s="22">
        <v>81.024124251083805</v>
      </c>
    </row>
    <row r="87" spans="1:3" ht="14.25">
      <c r="A87" s="78">
        <v>48.972611393172301</v>
      </c>
      <c r="B87" s="22">
        <v>5.88911638039718</v>
      </c>
      <c r="C87" s="22">
        <v>80.935444071312503</v>
      </c>
    </row>
    <row r="88" spans="1:3" ht="14.25">
      <c r="A88" s="78">
        <v>49.252580304656803</v>
      </c>
      <c r="B88" s="22">
        <v>5.88911638039718</v>
      </c>
      <c r="C88" s="22">
        <v>80.965004131236299</v>
      </c>
    </row>
    <row r="89" spans="1:3" ht="14.25">
      <c r="A89" s="78">
        <v>49.534331528748801</v>
      </c>
      <c r="B89" s="22">
        <v>5.88911638039718</v>
      </c>
      <c r="C89" s="22">
        <v>80.994564191159995</v>
      </c>
    </row>
    <row r="90" spans="1:3" ht="14.25">
      <c r="A90" s="78">
        <v>49.817834825157398</v>
      </c>
      <c r="B90" s="22">
        <v>5.8881077973554996</v>
      </c>
      <c r="C90" s="22">
        <v>80.965004131236299</v>
      </c>
    </row>
    <row r="91" spans="1:3" ht="14.25">
      <c r="A91" s="78">
        <v>50.103060452098802</v>
      </c>
      <c r="B91" s="22">
        <v>5.8881077973554996</v>
      </c>
      <c r="C91" s="22">
        <v>81.083244370931396</v>
      </c>
    </row>
    <row r="92" spans="1:3" ht="14.25">
      <c r="A92" s="78">
        <v>50.389979162527901</v>
      </c>
      <c r="B92" s="22">
        <v>5.8886120888763402</v>
      </c>
      <c r="C92" s="22">
        <v>80.994564191159995</v>
      </c>
    </row>
    <row r="93" spans="1:3" ht="14.25">
      <c r="A93" s="78">
        <v>50.678562200073003</v>
      </c>
      <c r="B93" s="22">
        <v>5.8881077973554996</v>
      </c>
      <c r="C93" s="22">
        <v>80.965004131236299</v>
      </c>
    </row>
    <row r="94" spans="1:3" ht="14.25">
      <c r="A94" s="78">
        <v>50.968781294697102</v>
      </c>
      <c r="B94" s="22">
        <v>5.8881077973554996</v>
      </c>
      <c r="C94" s="22">
        <v>81.024124251083805</v>
      </c>
    </row>
    <row r="95" spans="1:3" ht="14.25">
      <c r="A95" s="78">
        <v>51.260608658111003</v>
      </c>
      <c r="B95" s="22">
        <v>5.8881077973554996</v>
      </c>
      <c r="C95" s="22">
        <v>81.053684311007601</v>
      </c>
    </row>
    <row r="96" spans="1:3" ht="14.25">
      <c r="A96" s="78">
        <v>51.554016978957797</v>
      </c>
      <c r="B96" s="22">
        <v>5.8886120888763402</v>
      </c>
      <c r="C96" s="22">
        <v>80.965004131236299</v>
      </c>
    </row>
    <row r="97" spans="1:3" ht="14.25">
      <c r="A97" s="78">
        <v>51.848979417792499</v>
      </c>
      <c r="B97" s="22">
        <v>5.8881077973554996</v>
      </c>
      <c r="C97" s="22">
        <v>80.876323951464897</v>
      </c>
    </row>
    <row r="98" spans="1:3" ht="14.25">
      <c r="A98" s="78">
        <v>52.145469601874296</v>
      </c>
      <c r="B98" s="22">
        <v>5.88911638039718</v>
      </c>
      <c r="C98" s="22">
        <v>81.083244370931396</v>
      </c>
    </row>
    <row r="99" spans="1:3" ht="14.25">
      <c r="A99" s="78">
        <v>52.4434616197927</v>
      </c>
      <c r="B99" s="22">
        <v>5.8896206719180197</v>
      </c>
      <c r="C99" s="22">
        <v>81.053684311007601</v>
      </c>
    </row>
    <row r="100" spans="1:3" ht="14.25">
      <c r="A100" s="78">
        <v>52.742930015943102</v>
      </c>
      <c r="B100" s="22">
        <v>5.8896206719180197</v>
      </c>
      <c r="C100" s="22">
        <v>80.965004131236299</v>
      </c>
    </row>
    <row r="101" spans="1:3" ht="14.25">
      <c r="A101" s="78">
        <v>53.043849784871398</v>
      </c>
      <c r="B101" s="22">
        <v>5.88911638039718</v>
      </c>
      <c r="C101" s="22">
        <v>80.994564191159995</v>
      </c>
    </row>
    <row r="102" spans="1:3" ht="14.25">
      <c r="A102" s="78">
        <v>53.346196365501697</v>
      </c>
      <c r="B102" s="22">
        <v>5.8886120888763402</v>
      </c>
      <c r="C102" s="22">
        <v>80.905884011388693</v>
      </c>
    </row>
    <row r="103" spans="1:3" ht="14.25">
      <c r="A103" s="78">
        <v>53.649945635262902</v>
      </c>
      <c r="B103" s="22">
        <v>5.8886120888763402</v>
      </c>
      <c r="C103" s="22">
        <v>80.935444071312503</v>
      </c>
    </row>
    <row r="104" spans="1:3" ht="14.25">
      <c r="A104" s="78">
        <v>53.955073904128803</v>
      </c>
      <c r="B104" s="22">
        <v>5.8881077973554996</v>
      </c>
      <c r="C104" s="22">
        <v>80.994564191159995</v>
      </c>
    </row>
    <row r="105" spans="1:3" ht="14.25">
      <c r="A105" s="78">
        <v>54.2615579085845</v>
      </c>
      <c r="B105" s="22">
        <v>5.8886120888763402</v>
      </c>
      <c r="C105" s="22">
        <v>80.846763891541102</v>
      </c>
    </row>
    <row r="106" spans="1:3" ht="14.25">
      <c r="A106" s="78">
        <v>54.569374805532298</v>
      </c>
      <c r="B106" s="22">
        <v>5.8881077973554996</v>
      </c>
      <c r="C106" s="22">
        <v>81.083244370931396</v>
      </c>
    </row>
    <row r="107" spans="1:3" ht="14.25">
      <c r="A107" s="78">
        <v>54.878502166148799</v>
      </c>
      <c r="B107" s="22">
        <v>5.8876035058346501</v>
      </c>
      <c r="C107" s="22">
        <v>80.994564191159995</v>
      </c>
    </row>
    <row r="108" spans="1:3" ht="14.25">
      <c r="A108" s="78">
        <v>55.188917969703503</v>
      </c>
      <c r="B108" s="22">
        <v>5.8870992143138103</v>
      </c>
      <c r="C108" s="22">
        <v>80.905884011388693</v>
      </c>
    </row>
    <row r="109" spans="1:3" ht="14.25">
      <c r="A109" s="78">
        <v>55.500600597350903</v>
      </c>
      <c r="B109" s="22">
        <v>5.8881077973554996</v>
      </c>
      <c r="C109" s="22">
        <v>80.994564191159995</v>
      </c>
    </row>
    <row r="110" spans="1:3" ht="14.25">
      <c r="A110" s="78">
        <v>55.813528825903902</v>
      </c>
      <c r="B110" s="22">
        <v>5.8876035058346501</v>
      </c>
      <c r="C110" s="22">
        <v>81.053684311007601</v>
      </c>
    </row>
    <row r="111" spans="1:3" ht="14.25">
      <c r="A111" s="78">
        <v>56.127681821599097</v>
      </c>
      <c r="B111" s="22">
        <v>5.8876035058346501</v>
      </c>
      <c r="C111" s="22">
        <v>80.994564191159995</v>
      </c>
    </row>
    <row r="112" spans="1:3" ht="14.25">
      <c r="A112" s="78">
        <v>56.443039133861902</v>
      </c>
      <c r="B112" s="22">
        <v>5.8876035058346501</v>
      </c>
      <c r="C112" s="22">
        <v>80.965004131236299</v>
      </c>
    </row>
    <row r="113" spans="1:3" ht="14.25">
      <c r="A113" s="78">
        <v>56.759580689078398</v>
      </c>
      <c r="B113" s="22">
        <v>5.8870992143138103</v>
      </c>
      <c r="C113" s="22">
        <v>81.083244370931396</v>
      </c>
    </row>
    <row r="114" spans="1:3" ht="14.25">
      <c r="A114" s="78">
        <v>57.0772867843827</v>
      </c>
      <c r="B114" s="22">
        <v>5.8865949227929697</v>
      </c>
      <c r="C114" s="22">
        <v>80.994564191159995</v>
      </c>
    </row>
    <row r="115" spans="1:3" ht="14.25">
      <c r="A115" s="78">
        <v>57.396138081465601</v>
      </c>
      <c r="B115" s="22">
        <v>5.8870992143138103</v>
      </c>
      <c r="C115" s="22">
        <v>81.024124251083805</v>
      </c>
    </row>
    <row r="116" spans="1:3" ht="14.25">
      <c r="A116" s="78">
        <v>57.716115600411001</v>
      </c>
      <c r="B116" s="22">
        <v>5.8855863397512804</v>
      </c>
      <c r="C116" s="22">
        <v>81.024124251083805</v>
      </c>
    </row>
    <row r="117" spans="1:3" ht="14.25">
      <c r="A117" s="78">
        <v>58.037200713565298</v>
      </c>
      <c r="B117" s="22">
        <v>5.8870992143138103</v>
      </c>
      <c r="C117" s="22">
        <v>81.024124251083805</v>
      </c>
    </row>
    <row r="118" spans="1:3" ht="14.25">
      <c r="A118" s="78">
        <v>58.359375139446698</v>
      </c>
      <c r="B118" s="22">
        <v>5.8860906312721299</v>
      </c>
      <c r="C118" s="22">
        <v>80.965004131236299</v>
      </c>
    </row>
    <row r="119" spans="1:3" ht="14.25">
      <c r="A119" s="78">
        <v>58.682620936696402</v>
      </c>
      <c r="B119" s="22">
        <v>5.8860906312721299</v>
      </c>
      <c r="C119" s="22">
        <v>80.994564191159995</v>
      </c>
    </row>
    <row r="120" spans="1:3" ht="14.25">
      <c r="A120" s="78">
        <v>59.006920498079403</v>
      </c>
      <c r="B120" s="22">
        <v>5.8860906312721299</v>
      </c>
      <c r="C120" s="22">
        <v>81.053684311007601</v>
      </c>
    </row>
    <row r="121" spans="1:3" ht="14.25">
      <c r="A121" s="78">
        <v>59.3322565445363</v>
      </c>
      <c r="B121" s="22">
        <v>5.8865949227929697</v>
      </c>
      <c r="C121" s="22">
        <v>80.935444071312503</v>
      </c>
    </row>
    <row r="122" spans="1:3" ht="14.25">
      <c r="A122" s="78">
        <v>59.6586121192909</v>
      </c>
      <c r="B122" s="22">
        <v>5.8860906312721299</v>
      </c>
      <c r="C122" s="22">
        <v>80.965004131236299</v>
      </c>
    </row>
    <row r="123" spans="1:3" ht="14.25">
      <c r="A123" s="78">
        <v>59.985970582017501</v>
      </c>
      <c r="B123" s="22">
        <v>5.8860906312721299</v>
      </c>
      <c r="C123" s="22">
        <v>80.905884011388693</v>
      </c>
    </row>
    <row r="124" spans="1:3" ht="14.25">
      <c r="A124" s="78">
        <v>60.314315603069403</v>
      </c>
      <c r="B124" s="22">
        <v>5.8865949227929697</v>
      </c>
      <c r="C124" s="22">
        <v>81.024124251083805</v>
      </c>
    </row>
    <row r="125" spans="1:3" ht="14.25">
      <c r="A125" s="78">
        <v>60.643631157772901</v>
      </c>
      <c r="B125" s="22">
        <v>5.8865949227929697</v>
      </c>
      <c r="C125" s="22">
        <v>80.994564191159995</v>
      </c>
    </row>
    <row r="126" spans="1:3" ht="14.25">
      <c r="A126" s="78">
        <v>60.973901520787301</v>
      </c>
      <c r="B126" s="22">
        <v>5.8860906312721299</v>
      </c>
      <c r="C126" s="22">
        <v>80.994564191159995</v>
      </c>
    </row>
    <row r="127" spans="1:3" ht="14.25">
      <c r="A127" s="78">
        <v>61.305111260535703</v>
      </c>
      <c r="B127" s="22">
        <v>5.8860906312721299</v>
      </c>
      <c r="C127" s="22">
        <v>80.965004131236299</v>
      </c>
    </row>
    <row r="128" spans="1:3" ht="14.25">
      <c r="A128" s="78">
        <v>61.637245233705897</v>
      </c>
      <c r="B128" s="22">
        <v>5.8870992143138103</v>
      </c>
      <c r="C128" s="22">
        <v>80.905884011388693</v>
      </c>
    </row>
    <row r="129" spans="1:3" ht="14.25">
      <c r="A129" s="78">
        <v>61.970288579824</v>
      </c>
      <c r="B129" s="22">
        <v>5.8860906312721299</v>
      </c>
      <c r="C129" s="22">
        <v>81.024124251083805</v>
      </c>
    </row>
    <row r="130" spans="1:3" ht="14.25">
      <c r="A130" s="78">
        <v>62.304226715903198</v>
      </c>
      <c r="B130" s="22">
        <v>5.8865949227929697</v>
      </c>
      <c r="C130" s="22">
        <v>81.083244370931396</v>
      </c>
    </row>
    <row r="131" spans="1:3" ht="14.25">
      <c r="A131" s="78">
        <v>62.639045331166997</v>
      </c>
      <c r="B131" s="22">
        <v>5.8860906312721299</v>
      </c>
      <c r="C131" s="22">
        <v>80.994564191159995</v>
      </c>
    </row>
    <row r="132" spans="1:3" ht="14.25">
      <c r="A132" s="78">
        <v>62.974730381849703</v>
      </c>
      <c r="B132" s="22">
        <v>5.8865949227929697</v>
      </c>
      <c r="C132" s="22">
        <v>81.053684311007601</v>
      </c>
    </row>
    <row r="133" spans="1:3" ht="14.25">
      <c r="A133" s="78">
        <v>63.311268086073497</v>
      </c>
      <c r="B133" s="22">
        <v>5.8860906312721299</v>
      </c>
      <c r="C133" s="22">
        <v>80.965004131236299</v>
      </c>
    </row>
    <row r="134" spans="1:3" ht="14.25">
      <c r="A134" s="78">
        <v>63.648644918804003</v>
      </c>
      <c r="B134" s="22">
        <v>5.8855863397512804</v>
      </c>
      <c r="C134" s="22">
        <v>80.965004131236299</v>
      </c>
    </row>
    <row r="135" spans="1:3" ht="14.25">
      <c r="A135" s="78">
        <v>63.986847606884503</v>
      </c>
      <c r="B135" s="22">
        <v>5.8850820482304398</v>
      </c>
      <c r="C135" s="22">
        <v>80.994564191159995</v>
      </c>
    </row>
    <row r="136" spans="1:3" ht="14.25">
      <c r="A136" s="78">
        <v>64.325863124148299</v>
      </c>
      <c r="B136" s="22">
        <v>5.8850820482304398</v>
      </c>
      <c r="C136" s="22">
        <v>81.024124251083805</v>
      </c>
    </row>
    <row r="137" spans="1:3" ht="14.25">
      <c r="A137" s="78">
        <v>64.665678686610903</v>
      </c>
      <c r="B137" s="22">
        <v>5.8855863397512804</v>
      </c>
      <c r="C137" s="22">
        <v>81.024124251083805</v>
      </c>
    </row>
    <row r="138" spans="1:3" ht="14.25">
      <c r="A138" s="78">
        <v>65.0062817477409</v>
      </c>
      <c r="B138" s="22">
        <v>5.8855863397512804</v>
      </c>
      <c r="C138" s="22">
        <v>81.053684311007601</v>
      </c>
    </row>
    <row r="139" spans="1:3" ht="14.25">
      <c r="A139" s="78">
        <v>65.347659993810495</v>
      </c>
      <c r="B139" s="22">
        <v>5.8855863397512804</v>
      </c>
      <c r="C139" s="22">
        <v>81.053684311007601</v>
      </c>
    </row>
    <row r="140" spans="1:3" ht="14.25">
      <c r="A140" s="78">
        <v>65.689801339325101</v>
      </c>
      <c r="B140" s="22">
        <v>5.8850820482304398</v>
      </c>
      <c r="C140" s="22">
        <v>81.024124251083805</v>
      </c>
    </row>
    <row r="141" spans="1:3" ht="14.25">
      <c r="A141" s="78">
        <v>66.032693922530996</v>
      </c>
      <c r="B141" s="22">
        <v>5.8855863397512804</v>
      </c>
      <c r="C141" s="22">
        <v>80.965004131236299</v>
      </c>
    </row>
    <row r="142" spans="1:3" ht="14.25">
      <c r="A142" s="78">
        <v>66.376326101002803</v>
      </c>
      <c r="B142" s="22">
        <v>5.8850820482304398</v>
      </c>
      <c r="C142" s="22">
        <v>80.994564191159995</v>
      </c>
    </row>
    <row r="143" spans="1:3" ht="14.25">
      <c r="A143" s="78">
        <v>66.720686447308097</v>
      </c>
      <c r="B143" s="22">
        <v>5.8845777567096</v>
      </c>
      <c r="C143" s="22">
        <v>80.935444071312503</v>
      </c>
    </row>
    <row r="144" spans="1:3" ht="14.25">
      <c r="A144" s="78">
        <v>67.065763744750299</v>
      </c>
      <c r="B144" s="22">
        <v>5.8835691736679099</v>
      </c>
      <c r="C144" s="22">
        <v>81.112804430855107</v>
      </c>
    </row>
    <row r="145" spans="1:3" ht="14.25">
      <c r="A145" s="78">
        <v>67.411546983188799</v>
      </c>
      <c r="B145" s="22">
        <v>5.8835691736679099</v>
      </c>
      <c r="C145" s="22">
        <v>81.053684311007601</v>
      </c>
    </row>
    <row r="146" spans="1:3" ht="14.25">
      <c r="A146" s="78">
        <v>67.758025354934901</v>
      </c>
      <c r="B146" s="22">
        <v>5.8830648821470701</v>
      </c>
      <c r="C146" s="22">
        <v>81.053684311007601</v>
      </c>
    </row>
    <row r="147" spans="1:3" ht="14.25">
      <c r="A147" s="78">
        <v>68.105188250724794</v>
      </c>
      <c r="B147" s="22">
        <v>5.8835691736679099</v>
      </c>
      <c r="C147" s="22">
        <v>81.083244370931396</v>
      </c>
    </row>
    <row r="148" spans="1:3" ht="14.25">
      <c r="A148" s="78">
        <v>68.453025255766903</v>
      </c>
      <c r="B148" s="22">
        <v>5.8825605906262304</v>
      </c>
      <c r="C148" s="22">
        <v>80.935444071312503</v>
      </c>
    </row>
    <row r="149" spans="1:3" ht="14.25">
      <c r="A149" s="78">
        <v>68.801526145863903</v>
      </c>
      <c r="B149" s="22">
        <v>5.8830648821470701</v>
      </c>
      <c r="C149" s="22">
        <v>80.965004131236299</v>
      </c>
    </row>
    <row r="150" spans="1:3" ht="14.25">
      <c r="A150" s="78">
        <v>69.150680883608601</v>
      </c>
      <c r="B150" s="22">
        <v>5.8820562991053897</v>
      </c>
      <c r="C150" s="22">
        <v>81.024124251083805</v>
      </c>
    </row>
    <row r="151" spans="1:3" ht="14.25">
      <c r="A151" s="78">
        <v>69.500479614652093</v>
      </c>
      <c r="B151" s="22">
        <v>5.8825605906262304</v>
      </c>
      <c r="C151" s="22">
        <v>80.965004131236299</v>
      </c>
    </row>
    <row r="152" spans="1:3" ht="14.25">
      <c r="A152" s="78">
        <v>69.850912664044699</v>
      </c>
      <c r="B152" s="22">
        <v>5.8820562991053897</v>
      </c>
      <c r="C152" s="22">
        <v>81.024124251083805</v>
      </c>
    </row>
    <row r="153" spans="1:3" ht="14.25">
      <c r="A153" s="78">
        <v>70.201970532647195</v>
      </c>
      <c r="B153" s="22">
        <v>5.8820562991053897</v>
      </c>
      <c r="C153" s="22">
        <v>80.994564191159995</v>
      </c>
    </row>
    <row r="154" spans="1:3" ht="14.25">
      <c r="A154" s="78">
        <v>70.553643893612403</v>
      </c>
      <c r="B154" s="22">
        <v>5.8810477160636996</v>
      </c>
      <c r="C154" s="22">
        <v>81.053684311007601</v>
      </c>
    </row>
    <row r="155" spans="1:3" ht="14.25">
      <c r="A155" s="78">
        <v>70.905923588935806</v>
      </c>
      <c r="B155" s="22">
        <v>5.8810477160636996</v>
      </c>
      <c r="C155" s="22">
        <v>80.846763891541102</v>
      </c>
    </row>
    <row r="156" spans="1:3" ht="14.25">
      <c r="A156" s="78">
        <v>71.258800626074702</v>
      </c>
      <c r="B156" s="22">
        <v>5.8810477160636996</v>
      </c>
      <c r="C156" s="22">
        <v>80.965004131236299</v>
      </c>
    </row>
    <row r="157" spans="1:3" ht="14.25">
      <c r="A157" s="78">
        <v>71.6122661746343</v>
      </c>
      <c r="B157" s="22">
        <v>5.8790305499803299</v>
      </c>
      <c r="C157" s="22">
        <v>80.994564191159995</v>
      </c>
    </row>
    <row r="158" spans="1:3" ht="14.25">
      <c r="A158" s="78">
        <v>71.966311563119604</v>
      </c>
      <c r="B158" s="22">
        <v>5.8800391330220201</v>
      </c>
      <c r="C158" s="22">
        <v>81.024124251083805</v>
      </c>
    </row>
    <row r="159" spans="1:3" ht="14.25">
      <c r="A159" s="78">
        <v>72.320928275753403</v>
      </c>
      <c r="B159" s="22">
        <v>5.8795348415011803</v>
      </c>
      <c r="C159" s="22">
        <v>81.024124251083805</v>
      </c>
    </row>
    <row r="160" spans="1:3" ht="14.25">
      <c r="A160" s="78">
        <v>72.676107949357501</v>
      </c>
      <c r="B160" s="22">
        <v>5.8790305499803299</v>
      </c>
      <c r="C160" s="22">
        <v>81.053684311007601</v>
      </c>
    </row>
    <row r="161" spans="1:3" ht="14.25">
      <c r="A161" s="78">
        <v>73.031842370297596</v>
      </c>
      <c r="B161" s="22">
        <v>5.8775176754178098</v>
      </c>
      <c r="C161" s="22">
        <v>80.994564191159995</v>
      </c>
    </row>
    <row r="162" spans="1:3" ht="14.25">
      <c r="A162" s="78">
        <v>73.388123471490005</v>
      </c>
      <c r="B162" s="22">
        <v>5.8780219669386504</v>
      </c>
      <c r="C162" s="22">
        <v>80.965004131236299</v>
      </c>
    </row>
    <row r="163" spans="1:3" ht="14.25">
      <c r="A163" s="78">
        <v>73.744943329469507</v>
      </c>
      <c r="B163" s="22">
        <v>5.8780219669386504</v>
      </c>
      <c r="C163" s="22">
        <v>80.935444071312503</v>
      </c>
    </row>
    <row r="164" spans="1:3" ht="14.25">
      <c r="A164" s="78">
        <v>74.102294161516994</v>
      </c>
      <c r="B164" s="22">
        <v>5.8780219669386504</v>
      </c>
      <c r="C164" s="22">
        <v>80.935444071312503</v>
      </c>
    </row>
    <row r="165" spans="1:3" ht="14.25">
      <c r="A165" s="78">
        <v>74.460168322846698</v>
      </c>
      <c r="B165" s="22">
        <v>5.8790305499803299</v>
      </c>
      <c r="C165" s="22">
        <v>81.024124251083805</v>
      </c>
    </row>
    <row r="166" spans="1:3" ht="14.25">
      <c r="A166" s="78">
        <v>74.818558303850395</v>
      </c>
      <c r="B166" s="22">
        <v>5.88155200758455</v>
      </c>
      <c r="C166" s="22">
        <v>81.053684311007601</v>
      </c>
    </row>
    <row r="167" spans="1:3" ht="14.25">
      <c r="A167" s="78">
        <v>75.177456727399303</v>
      </c>
      <c r="B167" s="22">
        <v>5.8805434245428598</v>
      </c>
      <c r="C167" s="22">
        <v>80.965004131236299</v>
      </c>
    </row>
    <row r="168" spans="1:3" ht="14.25">
      <c r="A168" s="78">
        <v>75.536856346201404</v>
      </c>
      <c r="B168" s="22">
        <v>5.8800391330220201</v>
      </c>
      <c r="C168" s="22">
        <v>80.935444071312503</v>
      </c>
    </row>
    <row r="169" spans="1:3" ht="14.25">
      <c r="A169" s="78">
        <v>75.896750040213604</v>
      </c>
      <c r="B169" s="22">
        <v>5.8790305499803299</v>
      </c>
      <c r="C169" s="22">
        <v>80.965004131236299</v>
      </c>
    </row>
    <row r="170" spans="1:3" ht="14.25">
      <c r="A170" s="78">
        <v>76.257130814108095</v>
      </c>
      <c r="B170" s="22">
        <v>5.8800391330220201</v>
      </c>
      <c r="C170" s="22">
        <v>80.994564191159995</v>
      </c>
    </row>
    <row r="171" spans="1:3" ht="14.25">
      <c r="A171" s="78">
        <v>76.617991794790996</v>
      </c>
      <c r="B171" s="22">
        <v>5.8790305499803299</v>
      </c>
      <c r="C171" s="22">
        <v>80.965004131236299</v>
      </c>
    </row>
    <row r="172" spans="1:3" ht="14.25">
      <c r="A172" s="78">
        <v>76.979326228973093</v>
      </c>
      <c r="B172" s="22">
        <v>5.8785262584594902</v>
      </c>
      <c r="C172" s="22">
        <v>80.965004131236299</v>
      </c>
    </row>
    <row r="173" spans="1:3" ht="14.25">
      <c r="A173" s="78">
        <v>77.138511782377506</v>
      </c>
      <c r="B173" s="22">
        <v>5.8785262584594902</v>
      </c>
      <c r="C173" s="22">
        <v>81.083244370931396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87C1E-9C3D-4680-B6B8-EC31291F5F39}">
  <dimension ref="A1:M4"/>
  <sheetViews>
    <sheetView zoomScaleNormal="100" workbookViewId="0">
      <pane ySplit="4" topLeftCell="A5" activePane="bottomLeft" state="frozen"/>
      <selection activeCell="G1" sqref="G1"/>
      <selection pane="bottomLeft"/>
    </sheetView>
  </sheetViews>
  <sheetFormatPr defaultColWidth="9.140625" defaultRowHeight="15" customHeight="1"/>
  <cols>
    <col min="1" max="1" width="24.7109375" style="6" customWidth="1"/>
    <col min="2" max="9" width="24.7109375" style="72" customWidth="1"/>
    <col min="10" max="10" width="9.140625" style="72"/>
    <col min="11" max="11" width="24.7109375" style="6" customWidth="1"/>
    <col min="12" max="13" width="24.7109375" style="72" customWidth="1"/>
    <col min="14" max="16384" width="9.140625" style="2"/>
  </cols>
  <sheetData>
    <row r="1" spans="1:13" ht="15" customHeight="1">
      <c r="A1" s="25" t="s">
        <v>65</v>
      </c>
      <c r="B1" s="33"/>
      <c r="C1" s="33"/>
      <c r="D1" s="33"/>
      <c r="E1" s="33"/>
      <c r="F1" s="33"/>
      <c r="G1" s="33"/>
      <c r="H1" s="33"/>
      <c r="I1" s="33"/>
      <c r="J1" s="4"/>
      <c r="K1" s="10"/>
      <c r="L1" s="9"/>
      <c r="M1" s="9"/>
    </row>
    <row r="2" spans="1:13" ht="15" customHeight="1">
      <c r="A2" s="33"/>
      <c r="B2" s="33"/>
      <c r="C2" s="33"/>
      <c r="D2" s="33"/>
      <c r="E2" s="33"/>
      <c r="F2" s="33"/>
      <c r="G2" s="33"/>
      <c r="H2" s="33"/>
      <c r="I2" s="33"/>
      <c r="J2" s="4"/>
      <c r="K2" s="10"/>
      <c r="L2" s="9"/>
      <c r="M2" s="9"/>
    </row>
    <row r="3" spans="1:13" ht="30" customHeight="1">
      <c r="A3" s="33" t="s">
        <v>68</v>
      </c>
      <c r="B3" s="33" t="s">
        <v>72</v>
      </c>
      <c r="C3" s="33" t="s">
        <v>71</v>
      </c>
      <c r="D3" s="32" t="s">
        <v>67</v>
      </c>
      <c r="E3" s="33" t="s">
        <v>41</v>
      </c>
      <c r="F3" s="33" t="s">
        <v>7</v>
      </c>
      <c r="G3" s="33" t="s">
        <v>14</v>
      </c>
      <c r="H3" s="71" t="s">
        <v>73</v>
      </c>
      <c r="I3" s="71" t="s">
        <v>74</v>
      </c>
      <c r="J3" s="4"/>
      <c r="K3" s="33" t="s">
        <v>68</v>
      </c>
      <c r="L3" s="9" t="s">
        <v>42</v>
      </c>
      <c r="M3" s="9" t="s">
        <v>43</v>
      </c>
    </row>
    <row r="4" spans="1:13" ht="15" customHeight="1">
      <c r="A4" s="33" t="s">
        <v>0</v>
      </c>
      <c r="B4" s="33" t="s">
        <v>2</v>
      </c>
      <c r="C4" s="33" t="s">
        <v>1</v>
      </c>
      <c r="D4" s="33" t="s">
        <v>2</v>
      </c>
      <c r="E4" s="33" t="s">
        <v>0</v>
      </c>
      <c r="F4" s="33" t="s">
        <v>2</v>
      </c>
      <c r="G4" s="33" t="s">
        <v>1</v>
      </c>
      <c r="H4" s="33" t="s">
        <v>0</v>
      </c>
      <c r="I4" s="33" t="s">
        <v>0</v>
      </c>
      <c r="J4" s="4"/>
      <c r="K4" s="10" t="s">
        <v>0</v>
      </c>
      <c r="L4" s="9" t="s">
        <v>27</v>
      </c>
      <c r="M4" s="9" t="s">
        <v>1</v>
      </c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C8E1A-608D-4E61-AE80-D033B0146982}">
  <dimension ref="A1:AA15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1" width="24.7109375" style="78" customWidth="1"/>
    <col min="2" max="3" width="24.7109375" style="22" customWidth="1"/>
    <col min="4" max="6" width="9.140625" style="1"/>
    <col min="7" max="7" width="9.140625" style="51"/>
    <col min="8" max="9" width="9.140625" style="15"/>
    <col min="10" max="10" width="9.140625" style="51"/>
    <col min="11" max="12" width="9.140625" style="15"/>
    <col min="13" max="13" width="9.140625" style="51"/>
    <col min="14" max="15" width="9.140625" style="15"/>
    <col min="16" max="16" width="9.140625" style="51"/>
    <col min="17" max="18" width="9.140625" style="15"/>
    <col min="19" max="19" width="9.140625" style="51"/>
    <col min="20" max="21" width="9.140625" style="15"/>
    <col min="22" max="22" width="9.140625" style="51"/>
    <col min="23" max="24" width="9.140625" style="15"/>
    <col min="25" max="25" width="9.140625" style="51"/>
    <col min="26" max="27" width="9.140625" style="15"/>
    <col min="28" max="16384" width="9.140625" style="38"/>
  </cols>
  <sheetData>
    <row r="1" spans="1:27" s="48" customFormat="1" ht="15" customHeight="1">
      <c r="A1" s="23" t="s">
        <v>56</v>
      </c>
      <c r="B1" s="22"/>
      <c r="C1" s="22"/>
      <c r="G1" s="40"/>
      <c r="H1" s="41"/>
      <c r="I1" s="41"/>
      <c r="J1" s="40"/>
      <c r="K1" s="41"/>
      <c r="L1" s="41"/>
      <c r="M1" s="40"/>
      <c r="N1" s="41"/>
      <c r="O1" s="41"/>
      <c r="P1" s="40"/>
      <c r="Q1" s="41"/>
      <c r="R1" s="41"/>
      <c r="S1" s="40"/>
      <c r="T1" s="41"/>
      <c r="U1" s="41"/>
      <c r="V1" s="49"/>
      <c r="W1" s="41"/>
      <c r="X1" s="41"/>
      <c r="Y1" s="49"/>
      <c r="Z1" s="41"/>
      <c r="AA1" s="41"/>
    </row>
    <row r="2" spans="1:27" s="48" customFormat="1" ht="15" customHeight="1">
      <c r="A2" s="22"/>
      <c r="B2" s="22"/>
      <c r="C2" s="22"/>
      <c r="G2" s="40"/>
      <c r="H2" s="42"/>
      <c r="I2" s="42"/>
      <c r="J2" s="40"/>
      <c r="K2" s="42"/>
      <c r="L2" s="42"/>
      <c r="M2" s="40"/>
      <c r="N2" s="43"/>
      <c r="O2" s="43"/>
      <c r="P2" s="43"/>
      <c r="Q2" s="42"/>
      <c r="R2" s="42"/>
      <c r="S2" s="49"/>
      <c r="T2" s="42"/>
      <c r="U2" s="42"/>
      <c r="V2" s="49"/>
      <c r="W2" s="42"/>
      <c r="X2" s="42"/>
      <c r="Y2" s="49"/>
      <c r="Z2" s="42"/>
      <c r="AA2" s="42"/>
    </row>
    <row r="3" spans="1:27" s="50" customFormat="1" ht="15" customHeight="1">
      <c r="A3" s="24" t="s">
        <v>75</v>
      </c>
      <c r="B3" s="24" t="s">
        <v>76</v>
      </c>
      <c r="C3" s="24" t="s">
        <v>77</v>
      </c>
      <c r="G3" s="44"/>
      <c r="H3" s="45"/>
      <c r="I3" s="45"/>
      <c r="J3" s="44"/>
      <c r="K3" s="45"/>
      <c r="L3" s="15"/>
      <c r="M3" s="51"/>
      <c r="N3" s="15"/>
      <c r="O3" s="15"/>
      <c r="P3" s="51"/>
      <c r="Q3" s="15"/>
      <c r="R3" s="45"/>
      <c r="S3" s="52"/>
      <c r="T3" s="45"/>
      <c r="U3" s="45"/>
      <c r="V3" s="52"/>
      <c r="W3" s="45"/>
      <c r="X3" s="45"/>
      <c r="Y3" s="52"/>
      <c r="Z3" s="45"/>
      <c r="AA3" s="45"/>
    </row>
    <row r="4" spans="1:27" s="53" customFormat="1" ht="15" customHeight="1">
      <c r="A4" s="22" t="s">
        <v>25</v>
      </c>
      <c r="B4" s="22" t="s">
        <v>1</v>
      </c>
      <c r="C4" s="22" t="s">
        <v>2</v>
      </c>
      <c r="G4" s="46"/>
      <c r="H4" s="47"/>
      <c r="I4" s="47"/>
      <c r="J4" s="46"/>
      <c r="K4" s="47"/>
      <c r="L4" s="15"/>
      <c r="M4" s="51"/>
      <c r="N4" s="15"/>
      <c r="O4" s="15"/>
      <c r="P4" s="51"/>
      <c r="Q4" s="15"/>
      <c r="R4" s="47"/>
      <c r="S4" s="54"/>
      <c r="T4" s="47"/>
      <c r="U4" s="47"/>
      <c r="V4" s="54"/>
      <c r="W4" s="47"/>
      <c r="X4" s="47"/>
      <c r="Y4" s="54"/>
      <c r="Z4" s="47"/>
      <c r="AA4" s="47"/>
    </row>
    <row r="15" spans="1:27" ht="15" customHeight="1">
      <c r="S15" s="55"/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C729D-51D6-4D34-85CB-B11D1FAB75B3}">
  <sheetPr codeName="Sheet1"/>
  <dimension ref="A1:Q607"/>
  <sheetViews>
    <sheetView tabSelected="1" topLeftCell="K1"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2" width="24.7109375" style="33" customWidth="1"/>
    <col min="3" max="3" width="24.7109375" style="26" customWidth="1"/>
    <col min="4" max="4" width="24.7109375" style="33" customWidth="1"/>
    <col min="5" max="5" width="24.7109375" style="26" customWidth="1"/>
    <col min="6" max="8" width="24.7109375" style="33" customWidth="1"/>
    <col min="9" max="9" width="9.140625" style="1"/>
    <col min="10" max="16" width="24.7109375" style="72" customWidth="1"/>
    <col min="17" max="17" width="24.7109375" style="77" customWidth="1"/>
    <col min="18" max="16384" width="9.140625" style="38"/>
  </cols>
  <sheetData>
    <row r="1" spans="1:17" ht="15" customHeight="1">
      <c r="A1" s="25" t="s">
        <v>63</v>
      </c>
      <c r="B1" s="26"/>
      <c r="D1" s="26"/>
      <c r="F1" s="26"/>
      <c r="G1" s="26"/>
      <c r="H1" s="26"/>
      <c r="J1" s="25" t="s">
        <v>64</v>
      </c>
      <c r="K1" s="26"/>
      <c r="L1" s="26"/>
      <c r="M1" s="26"/>
      <c r="N1" s="26"/>
      <c r="O1" s="26"/>
      <c r="P1" s="26"/>
      <c r="Q1" s="72"/>
    </row>
    <row r="2" spans="1:17" s="57" customFormat="1" ht="15" customHeight="1">
      <c r="A2" s="26"/>
      <c r="B2" s="26"/>
      <c r="C2" s="26"/>
      <c r="D2" s="26"/>
      <c r="E2" s="26"/>
      <c r="F2" s="26"/>
      <c r="G2" s="26"/>
      <c r="H2" s="26"/>
      <c r="J2" s="25"/>
      <c r="K2" s="26"/>
      <c r="L2" s="26"/>
      <c r="M2" s="26"/>
      <c r="N2" s="26"/>
      <c r="O2" s="26"/>
      <c r="P2" s="26"/>
      <c r="Q2" s="73"/>
    </row>
    <row r="3" spans="1:17" s="58" customFormat="1" ht="30" customHeight="1">
      <c r="A3" s="24" t="s">
        <v>71</v>
      </c>
      <c r="B3" s="24" t="s">
        <v>72</v>
      </c>
      <c r="C3" s="32" t="s">
        <v>84</v>
      </c>
      <c r="D3" s="24" t="s">
        <v>78</v>
      </c>
      <c r="E3" s="32" t="s">
        <v>83</v>
      </c>
      <c r="F3" s="24" t="s">
        <v>74</v>
      </c>
      <c r="G3" s="24" t="s">
        <v>80</v>
      </c>
      <c r="H3" s="24" t="s">
        <v>82</v>
      </c>
      <c r="J3" s="24" t="s">
        <v>71</v>
      </c>
      <c r="K3" s="24" t="s">
        <v>72</v>
      </c>
      <c r="L3" s="32" t="s">
        <v>67</v>
      </c>
      <c r="M3" s="24" t="s">
        <v>78</v>
      </c>
      <c r="N3" s="24" t="s">
        <v>79</v>
      </c>
      <c r="O3" s="24" t="s">
        <v>74</v>
      </c>
      <c r="P3" s="24" t="s">
        <v>80</v>
      </c>
      <c r="Q3" s="26" t="s">
        <v>81</v>
      </c>
    </row>
    <row r="4" spans="1:17" ht="15" customHeight="1">
      <c r="A4" s="26" t="s">
        <v>1</v>
      </c>
      <c r="B4" s="26" t="s">
        <v>2</v>
      </c>
      <c r="C4" s="26" t="s">
        <v>2</v>
      </c>
      <c r="D4" s="26" t="s">
        <v>2</v>
      </c>
      <c r="E4" s="26" t="s">
        <v>1</v>
      </c>
      <c r="F4" s="26" t="s">
        <v>0</v>
      </c>
      <c r="G4" s="26" t="s">
        <v>0</v>
      </c>
      <c r="H4" s="26" t="s">
        <v>27</v>
      </c>
      <c r="J4" s="26" t="s">
        <v>1</v>
      </c>
      <c r="K4" s="26" t="s">
        <v>2</v>
      </c>
      <c r="L4" s="26" t="s">
        <v>2</v>
      </c>
      <c r="M4" s="26" t="s">
        <v>2</v>
      </c>
      <c r="N4" s="26" t="s">
        <v>1</v>
      </c>
      <c r="O4" s="26" t="s">
        <v>0</v>
      </c>
      <c r="P4" s="26" t="s">
        <v>0</v>
      </c>
      <c r="Q4" s="72" t="s">
        <v>27</v>
      </c>
    </row>
    <row r="5" spans="1:17" ht="14.25">
      <c r="J5" s="72">
        <v>0</v>
      </c>
      <c r="K5" s="72">
        <v>-5.5425112357089398E-2</v>
      </c>
      <c r="L5" s="72">
        <v>0</v>
      </c>
      <c r="M5" s="72">
        <v>80.994564191159995</v>
      </c>
      <c r="N5" s="72">
        <v>0</v>
      </c>
      <c r="O5" s="72">
        <v>-6.8430656934306605E-4</v>
      </c>
      <c r="P5" s="72">
        <v>1</v>
      </c>
      <c r="Q5" s="77" t="s">
        <v>86</v>
      </c>
    </row>
    <row r="6" spans="1:17" ht="14.25">
      <c r="J6" s="72">
        <v>5.3054662379421198E-2</v>
      </c>
      <c r="K6" s="72">
        <v>17.886327753142901</v>
      </c>
      <c r="L6" s="72">
        <v>-2.6308453332165</v>
      </c>
      <c r="M6" s="72">
        <v>83.625409524376494</v>
      </c>
      <c r="N6" s="72">
        <v>5.3578795655825396E-4</v>
      </c>
      <c r="O6" s="72">
        <v>0.22083368102244899</v>
      </c>
      <c r="P6" s="72">
        <v>1.0324817518248199</v>
      </c>
      <c r="Q6" s="77">
        <v>33.8174857040636</v>
      </c>
    </row>
    <row r="7" spans="1:17" ht="14.25">
      <c r="J7" s="72">
        <v>9.6998928188638797E-2</v>
      </c>
      <c r="K7" s="72">
        <v>26.428189765854501</v>
      </c>
      <c r="L7" s="72">
        <v>-5.4390510259756999</v>
      </c>
      <c r="M7" s="72">
        <v>86.433615217135696</v>
      </c>
      <c r="N7" s="72">
        <v>5.3578795655825396E-4</v>
      </c>
      <c r="O7" s="72">
        <v>0.32629584503325199</v>
      </c>
      <c r="P7" s="72">
        <v>1.0671532846715299</v>
      </c>
      <c r="Q7" s="77">
        <v>27.302997437979499</v>
      </c>
    </row>
    <row r="8" spans="1:17" s="58" customFormat="1" ht="15" customHeight="1">
      <c r="A8" s="33"/>
      <c r="B8" s="33"/>
      <c r="C8" s="26"/>
      <c r="D8" s="33"/>
      <c r="E8" s="26"/>
      <c r="F8" s="33"/>
      <c r="G8" s="33"/>
      <c r="H8" s="33"/>
      <c r="I8" s="1"/>
      <c r="J8" s="72">
        <v>0.146838156484459</v>
      </c>
      <c r="K8" s="72">
        <v>32.545995036882502</v>
      </c>
      <c r="L8" s="72">
        <v>-9.5774594153050607</v>
      </c>
      <c r="M8" s="72">
        <v>90.572023606465095</v>
      </c>
      <c r="N8" s="72">
        <v>1.0715759131165101E-3</v>
      </c>
      <c r="O8" s="72">
        <v>0.40182937413020398</v>
      </c>
      <c r="P8" s="72">
        <v>1.11824817518248</v>
      </c>
      <c r="Q8" s="77">
        <v>22.202281021343499</v>
      </c>
    </row>
    <row r="9" spans="1:17" s="58" customFormat="1" ht="15" customHeight="1">
      <c r="A9" s="33"/>
      <c r="B9" s="33"/>
      <c r="C9" s="26"/>
      <c r="D9" s="33"/>
      <c r="E9" s="26"/>
      <c r="F9" s="33"/>
      <c r="G9" s="33"/>
      <c r="H9" s="33"/>
      <c r="I9" s="1"/>
      <c r="J9" s="72">
        <v>0.202572347266881</v>
      </c>
      <c r="K9" s="72">
        <v>37.008305761098299</v>
      </c>
      <c r="L9" s="72">
        <v>-13.213346785930099</v>
      </c>
      <c r="M9" s="72">
        <v>94.207910977090194</v>
      </c>
      <c r="N9" s="72">
        <v>5.3578795655825396E-4</v>
      </c>
      <c r="O9" s="72">
        <v>0.45692332727110901</v>
      </c>
      <c r="P9" s="72">
        <v>1.1631386861313899</v>
      </c>
      <c r="Q9" s="77">
        <v>18.296540161340701</v>
      </c>
    </row>
    <row r="10" spans="1:17" ht="14.25">
      <c r="J10" s="72">
        <v>0.248124330117899</v>
      </c>
      <c r="K10" s="72">
        <v>40.554486180679604</v>
      </c>
      <c r="L10" s="72">
        <v>-15.785071999299101</v>
      </c>
      <c r="M10" s="72">
        <v>96.779636190459101</v>
      </c>
      <c r="N10" s="72">
        <v>1.0715759131165101E-3</v>
      </c>
      <c r="O10" s="72">
        <v>0.50070627066977702</v>
      </c>
      <c r="P10" s="72">
        <v>1.1948905109489101</v>
      </c>
      <c r="Q10" s="77">
        <v>16.366759065400998</v>
      </c>
    </row>
    <row r="11" spans="1:17" ht="14.25">
      <c r="J11" s="72">
        <v>0.296355841371919</v>
      </c>
      <c r="K11" s="72">
        <v>43.598086817400599</v>
      </c>
      <c r="L11" s="72">
        <v>-17.824716134039999</v>
      </c>
      <c r="M11" s="72">
        <v>98.819280325199998</v>
      </c>
      <c r="N11" s="72">
        <v>0</v>
      </c>
      <c r="O11" s="72">
        <v>0.53828410897430301</v>
      </c>
      <c r="P11" s="72">
        <v>1.2200729927007301</v>
      </c>
      <c r="Q11" s="77">
        <v>14.7301000471841</v>
      </c>
    </row>
    <row r="12" spans="1:17" ht="14.25">
      <c r="J12" s="72">
        <v>0.35048231511254002</v>
      </c>
      <c r="K12" s="72">
        <v>45.932115340951697</v>
      </c>
      <c r="L12" s="72">
        <v>-19.302719130229001</v>
      </c>
      <c r="M12" s="72">
        <v>100.297283321389</v>
      </c>
      <c r="N12" s="72">
        <v>0</v>
      </c>
      <c r="O12" s="72">
        <v>0.56710120981137202</v>
      </c>
      <c r="P12" s="72">
        <v>1.23832116788321</v>
      </c>
      <c r="Q12" s="77">
        <v>13.121215670623</v>
      </c>
    </row>
    <row r="13" spans="1:17" ht="14.25">
      <c r="J13" s="72">
        <v>0.39710610932475898</v>
      </c>
      <c r="K13" s="72">
        <v>48.177633965385198</v>
      </c>
      <c r="L13" s="72">
        <v>-21.135442845503398</v>
      </c>
      <c r="M13" s="72">
        <v>102.130007036663</v>
      </c>
      <c r="N13" s="72">
        <v>5.3578795655825396E-4</v>
      </c>
      <c r="O13" s="72">
        <v>0.594825522508872</v>
      </c>
      <c r="P13" s="72">
        <v>1.26094890510949</v>
      </c>
      <c r="Q13" s="77">
        <v>12.1461387637068</v>
      </c>
    </row>
    <row r="14" spans="1:17" ht="14.25">
      <c r="J14" s="72">
        <v>0.447481243301179</v>
      </c>
      <c r="K14" s="72">
        <v>49.831869001375203</v>
      </c>
      <c r="L14" s="72">
        <v>-22.347405302378501</v>
      </c>
      <c r="M14" s="72">
        <v>103.341969493539</v>
      </c>
      <c r="N14" s="72">
        <v>5.3578795655825396E-4</v>
      </c>
      <c r="O14" s="72">
        <v>0.61524954790501796</v>
      </c>
      <c r="P14" s="72">
        <v>1.27591240875912</v>
      </c>
      <c r="Q14" s="77">
        <v>11.1484659660149</v>
      </c>
    </row>
    <row r="15" spans="1:17" ht="14.25">
      <c r="J15" s="72">
        <v>0.49946409431939998</v>
      </c>
      <c r="K15" s="72">
        <v>51.486069949444598</v>
      </c>
      <c r="L15" s="72">
        <v>-23.322887279863199</v>
      </c>
      <c r="M15" s="72">
        <v>104.31745147102301</v>
      </c>
      <c r="N15" s="72">
        <v>0</v>
      </c>
      <c r="O15" s="72">
        <v>0.63567315243439404</v>
      </c>
      <c r="P15" s="72">
        <v>1.28795620437956</v>
      </c>
      <c r="Q15" s="77">
        <v>10.319359419026</v>
      </c>
    </row>
    <row r="16" spans="1:17" ht="14.25">
      <c r="J16" s="72">
        <v>0.54876741693461994</v>
      </c>
      <c r="K16" s="72">
        <v>53.081212499693201</v>
      </c>
      <c r="L16" s="72">
        <v>-24.4757296168907</v>
      </c>
      <c r="M16" s="72">
        <v>105.470293808051</v>
      </c>
      <c r="N16" s="72">
        <v>1.0715759131165101E-3</v>
      </c>
      <c r="O16" s="72">
        <v>0.65536759200794203</v>
      </c>
      <c r="P16" s="72">
        <v>1.3021897810219001</v>
      </c>
      <c r="Q16" s="77">
        <v>9.6829068148521404</v>
      </c>
    </row>
    <row r="17" spans="10:17" ht="14.25">
      <c r="J17" s="72">
        <v>0.60075026795284003</v>
      </c>
      <c r="K17" s="72">
        <v>54.498936772682903</v>
      </c>
      <c r="L17" s="72">
        <v>-25.1260509352139</v>
      </c>
      <c r="M17" s="72">
        <v>106.12061512637401</v>
      </c>
      <c r="N17" s="72">
        <v>5.3578795655825396E-4</v>
      </c>
      <c r="O17" s="72">
        <v>0.67287153547806899</v>
      </c>
      <c r="P17" s="72">
        <v>1.31021897810219</v>
      </c>
      <c r="Q17" s="77">
        <v>9.0810382941556291</v>
      </c>
    </row>
    <row r="18" spans="10:17" ht="14.25">
      <c r="J18" s="72">
        <v>0.64469453376205799</v>
      </c>
      <c r="K18" s="72">
        <v>55.621241134829297</v>
      </c>
      <c r="L18" s="72">
        <v>-25.894612493232199</v>
      </c>
      <c r="M18" s="72">
        <v>106.889176684392</v>
      </c>
      <c r="N18" s="72">
        <v>5.3578795655825396E-4</v>
      </c>
      <c r="O18" s="72">
        <v>0.686728074782332</v>
      </c>
      <c r="P18" s="72">
        <v>1.31970802919708</v>
      </c>
      <c r="Q18" s="77">
        <v>8.6361312732543496</v>
      </c>
    </row>
    <row r="19" spans="10:17" ht="14.25">
      <c r="J19" s="72">
        <v>0.70150053590568096</v>
      </c>
      <c r="K19" s="72">
        <v>56.979741824999898</v>
      </c>
      <c r="L19" s="72">
        <v>-26.929214590564499</v>
      </c>
      <c r="M19" s="72">
        <v>107.92377878172501</v>
      </c>
      <c r="N19" s="72">
        <v>1.0715759131165101E-3</v>
      </c>
      <c r="O19" s="72">
        <v>0.70350081383879903</v>
      </c>
      <c r="P19" s="72">
        <v>1.33248175182482</v>
      </c>
      <c r="Q19" s="77">
        <v>8.1304523686102499</v>
      </c>
    </row>
    <row r="20" spans="10:17" ht="14.25">
      <c r="J20" s="72">
        <v>0.74919614147909996</v>
      </c>
      <c r="K20" s="72">
        <v>57.924605883782903</v>
      </c>
      <c r="L20" s="72">
        <v>-27.2248151898023</v>
      </c>
      <c r="M20" s="72">
        <v>108.219379380962</v>
      </c>
      <c r="N20" s="72">
        <v>5.3578795655825396E-4</v>
      </c>
      <c r="O20" s="72">
        <v>0.71516658509417497</v>
      </c>
      <c r="P20" s="72">
        <v>1.3361313868613101</v>
      </c>
      <c r="Q20" s="77">
        <v>7.7389655106435802</v>
      </c>
    </row>
    <row r="21" spans="10:17" ht="14.25">
      <c r="J21" s="72">
        <v>0.79796355841371902</v>
      </c>
      <c r="K21" s="72">
        <v>59.165048469216401</v>
      </c>
      <c r="L21" s="72">
        <v>-27.9046965680493</v>
      </c>
      <c r="M21" s="72">
        <v>108.899260759209</v>
      </c>
      <c r="N21" s="72">
        <v>0</v>
      </c>
      <c r="O21" s="72">
        <v>0.73048171886668301</v>
      </c>
      <c r="P21" s="72">
        <v>1.34452554744526</v>
      </c>
      <c r="Q21" s="77">
        <v>7.4214508867170004</v>
      </c>
    </row>
    <row r="22" spans="10:17" ht="14.25">
      <c r="J22" s="72">
        <v>0.84833869239013904</v>
      </c>
      <c r="K22" s="72">
        <v>60.1098566575928</v>
      </c>
      <c r="L22" s="72">
        <v>-28.643698066143799</v>
      </c>
      <c r="M22" s="72">
        <v>109.63826225730401</v>
      </c>
      <c r="N22" s="72">
        <v>5.3578795655825396E-4</v>
      </c>
      <c r="O22" s="72">
        <v>0.742146800317661</v>
      </c>
      <c r="P22" s="72">
        <v>1.3536496350364999</v>
      </c>
      <c r="Q22" s="77">
        <v>7.0921298662492998</v>
      </c>
    </row>
    <row r="23" spans="10:17" ht="14.25">
      <c r="J23" s="72">
        <v>0.89549839228295802</v>
      </c>
      <c r="K23" s="72">
        <v>60.847817177352603</v>
      </c>
      <c r="L23" s="72">
        <v>-28.850618485610301</v>
      </c>
      <c r="M23" s="72">
        <v>109.84518267676999</v>
      </c>
      <c r="N23" s="72">
        <v>5.3578795655825396E-4</v>
      </c>
      <c r="O23" s="72">
        <v>0.75125803546201098</v>
      </c>
      <c r="P23" s="72">
        <v>1.35620437956204</v>
      </c>
      <c r="Q23" s="77">
        <v>6.8010442915977496</v>
      </c>
    </row>
    <row r="24" spans="10:17" ht="14.25">
      <c r="J24" s="72">
        <v>0.94319399785637703</v>
      </c>
      <c r="K24" s="72">
        <v>61.792687921744999</v>
      </c>
      <c r="L24" s="72">
        <v>-29.7669803432475</v>
      </c>
      <c r="M24" s="72">
        <v>110.761544534408</v>
      </c>
      <c r="N24" s="72">
        <v>5.3578795655825396E-4</v>
      </c>
      <c r="O24" s="72">
        <v>0.76292388926131405</v>
      </c>
      <c r="P24" s="72">
        <v>1.36751824817518</v>
      </c>
      <c r="Q24" s="77">
        <v>6.5573056205474103</v>
      </c>
    </row>
    <row r="25" spans="10:17" ht="14.25">
      <c r="J25" s="72">
        <v>0.99624866023579906</v>
      </c>
      <c r="K25" s="72">
        <v>62.619202248200502</v>
      </c>
      <c r="L25" s="72">
        <v>-29.855660523018798</v>
      </c>
      <c r="M25" s="72">
        <v>110.85022471417901</v>
      </c>
      <c r="N25" s="72">
        <v>1.0715759131165101E-3</v>
      </c>
      <c r="O25" s="72">
        <v>0.77312845465047797</v>
      </c>
      <c r="P25" s="72">
        <v>1.36861313868613</v>
      </c>
      <c r="Q25" s="77">
        <v>6.2910626495320301</v>
      </c>
    </row>
    <row r="26" spans="10:17" ht="14.25">
      <c r="J26" s="72">
        <v>1.0471596998928201</v>
      </c>
      <c r="K26" s="72">
        <v>63.534445832360497</v>
      </c>
      <c r="L26" s="72">
        <v>-30.4468617214945</v>
      </c>
      <c r="M26" s="72">
        <v>111.44142591265501</v>
      </c>
      <c r="N26" s="72">
        <v>1.0715759131165101E-3</v>
      </c>
      <c r="O26" s="72">
        <v>0.78442851649166401</v>
      </c>
      <c r="P26" s="72">
        <v>1.3759124087591199</v>
      </c>
      <c r="Q26" s="77">
        <v>6.0726048711792799</v>
      </c>
    </row>
    <row r="27" spans="10:17" ht="14.25">
      <c r="J27" s="72">
        <v>1.09539121114684</v>
      </c>
      <c r="K27" s="72">
        <v>64.065469221544504</v>
      </c>
      <c r="L27" s="72">
        <v>-30.387741601646901</v>
      </c>
      <c r="M27" s="72">
        <v>111.382305792807</v>
      </c>
      <c r="N27" s="72">
        <v>5.3578795655825396E-4</v>
      </c>
      <c r="O27" s="72">
        <v>0.79098480078662803</v>
      </c>
      <c r="P27" s="72">
        <v>1.3751824817518199</v>
      </c>
      <c r="Q27" s="77">
        <v>5.8536980835156696</v>
      </c>
    </row>
    <row r="28" spans="10:17" ht="14.25">
      <c r="J28" s="72">
        <v>1.14415862808146</v>
      </c>
      <c r="K28" s="72">
        <v>64.921643226746994</v>
      </c>
      <c r="L28" s="72">
        <v>-30.949382740198701</v>
      </c>
      <c r="M28" s="72">
        <v>111.94394693135899</v>
      </c>
      <c r="N28" s="72">
        <v>1.0715759131165101E-3</v>
      </c>
      <c r="O28" s="72">
        <v>0.80155555962399605</v>
      </c>
      <c r="P28" s="72">
        <v>1.38211678832117</v>
      </c>
      <c r="Q28" s="77">
        <v>5.6790262070617397</v>
      </c>
    </row>
    <row r="29" spans="10:17" ht="14.25">
      <c r="J29" s="72">
        <v>1.19614147909968</v>
      </c>
      <c r="K29" s="72">
        <v>66.043789263403696</v>
      </c>
      <c r="L29" s="72">
        <v>-31.451903758903001</v>
      </c>
      <c r="M29" s="72">
        <v>112.446467950063</v>
      </c>
      <c r="N29" s="72">
        <v>5.3578795655825396E-4</v>
      </c>
      <c r="O29" s="72">
        <v>0.81541014416140201</v>
      </c>
      <c r="P29" s="72">
        <v>1.3883211678832099</v>
      </c>
      <c r="Q29" s="77">
        <v>5.5260364706617198</v>
      </c>
    </row>
    <row r="30" spans="10:17" ht="14.25">
      <c r="J30" s="72">
        <v>1.2449088960343</v>
      </c>
      <c r="K30" s="72">
        <v>66.486125979782102</v>
      </c>
      <c r="L30" s="72">
        <v>-31.0971830398177</v>
      </c>
      <c r="M30" s="72">
        <v>112.091747230978</v>
      </c>
      <c r="N30" s="72">
        <v>5.3578795655825396E-4</v>
      </c>
      <c r="O30" s="72">
        <v>0.82087145777911996</v>
      </c>
      <c r="P30" s="72">
        <v>1.3839416058394201</v>
      </c>
      <c r="Q30" s="77">
        <v>5.3450940309053703</v>
      </c>
    </row>
    <row r="31" spans="10:17" ht="14.25">
      <c r="J31" s="72">
        <v>1.2915326902465201</v>
      </c>
      <c r="K31" s="72">
        <v>67.224111679412601</v>
      </c>
      <c r="L31" s="72">
        <v>-31.363223579131699</v>
      </c>
      <c r="M31" s="72">
        <v>112.35778777029201</v>
      </c>
      <c r="N31" s="72">
        <v>0</v>
      </c>
      <c r="O31" s="72">
        <v>0.82998300380693402</v>
      </c>
      <c r="P31" s="72">
        <v>1.3872262773722599</v>
      </c>
      <c r="Q31" s="77">
        <v>5.2092786578191799</v>
      </c>
    </row>
    <row r="32" spans="10:17" ht="14.25">
      <c r="J32" s="72">
        <v>1.3435155412647399</v>
      </c>
      <c r="K32" s="72">
        <v>68.021102592280201</v>
      </c>
      <c r="L32" s="72">
        <v>-31.777064418064601</v>
      </c>
      <c r="M32" s="72">
        <v>112.771628609225</v>
      </c>
      <c r="N32" s="72">
        <v>5.3578795655825396E-4</v>
      </c>
      <c r="O32" s="72">
        <v>0.83982305814671199</v>
      </c>
      <c r="P32" s="72">
        <v>1.39233576642336</v>
      </c>
      <c r="Q32" s="77">
        <v>5.0670443038234199</v>
      </c>
    </row>
    <row r="33" spans="10:17" ht="14.25">
      <c r="J33" s="72">
        <v>1.39924973204716</v>
      </c>
      <c r="K33" s="72">
        <v>68.699773837090703</v>
      </c>
      <c r="L33" s="72">
        <v>-31.836184537912199</v>
      </c>
      <c r="M33" s="72">
        <v>112.830748729072</v>
      </c>
      <c r="N33" s="72">
        <v>0</v>
      </c>
      <c r="O33" s="72">
        <v>0.84820227780901802</v>
      </c>
      <c r="P33" s="72">
        <v>1.39306569343066</v>
      </c>
      <c r="Q33" s="77">
        <v>4.9137189291332604</v>
      </c>
    </row>
    <row r="34" spans="10:17" ht="14.25">
      <c r="J34" s="72">
        <v>1.44587352625938</v>
      </c>
      <c r="K34" s="72">
        <v>69.201284256742099</v>
      </c>
      <c r="L34" s="72">
        <v>-31.747504358140802</v>
      </c>
      <c r="M34" s="72">
        <v>112.742068549301</v>
      </c>
      <c r="N34" s="72">
        <v>5.3578795655825396E-4</v>
      </c>
      <c r="O34" s="72">
        <v>0.85439418000220402</v>
      </c>
      <c r="P34" s="72">
        <v>1.39197080291971</v>
      </c>
      <c r="Q34" s="77">
        <v>4.7899562521400698</v>
      </c>
    </row>
    <row r="35" spans="10:17" ht="14.25">
      <c r="J35" s="72">
        <v>1.4930332261521999</v>
      </c>
      <c r="K35" s="72">
        <v>69.821024897846996</v>
      </c>
      <c r="L35" s="72">
        <v>-32.072665017302398</v>
      </c>
      <c r="M35" s="72">
        <v>113.067229208462</v>
      </c>
      <c r="N35" s="72">
        <v>1.0715759131165101E-3</v>
      </c>
      <c r="O35" s="72">
        <v>0.86204581251969303</v>
      </c>
      <c r="P35" s="72">
        <v>1.3959854014598501</v>
      </c>
      <c r="Q35" s="77">
        <v>4.6801671112362104</v>
      </c>
    </row>
    <row r="36" spans="10:17" ht="14.25">
      <c r="J36" s="72">
        <v>1.54394426580922</v>
      </c>
      <c r="K36" s="72">
        <v>70.529366337051499</v>
      </c>
      <c r="L36" s="72">
        <v>-32.427385736387798</v>
      </c>
      <c r="M36" s="72">
        <v>113.421949927548</v>
      </c>
      <c r="N36" s="72">
        <v>1.0715759131165101E-3</v>
      </c>
      <c r="O36" s="72">
        <v>0.87079135546171904</v>
      </c>
      <c r="P36" s="72">
        <v>1.4003649635036499</v>
      </c>
      <c r="Q36" s="77">
        <v>4.5717188769384398</v>
      </c>
    </row>
    <row r="37" spans="10:17" ht="14.25">
      <c r="J37" s="72">
        <v>1.5916398713826401</v>
      </c>
      <c r="K37" s="72">
        <v>70.883058229894601</v>
      </c>
      <c r="L37" s="72">
        <v>-32.575186036006698</v>
      </c>
      <c r="M37" s="72">
        <v>113.56975022716701</v>
      </c>
      <c r="N37" s="72">
        <v>0</v>
      </c>
      <c r="O37" s="72">
        <v>0.87515821509452596</v>
      </c>
      <c r="P37" s="72">
        <v>1.4021897810219</v>
      </c>
      <c r="Q37" s="77">
        <v>4.4569430948364204</v>
      </c>
    </row>
    <row r="38" spans="10:17" ht="14.25">
      <c r="J38" s="72">
        <v>1.6425509110396601</v>
      </c>
      <c r="K38" s="72">
        <v>71.620963356325902</v>
      </c>
      <c r="L38" s="72">
        <v>-32.929906755092098</v>
      </c>
      <c r="M38" s="72">
        <v>113.924470946252</v>
      </c>
      <c r="N38" s="72">
        <v>1.0715759131165101E-3</v>
      </c>
      <c r="O38" s="72">
        <v>0.88426876632472595</v>
      </c>
      <c r="P38" s="72">
        <v>1.40656934306569</v>
      </c>
      <c r="Q38" s="77">
        <v>4.3637240092190099</v>
      </c>
    </row>
    <row r="39" spans="10:17" ht="14.25">
      <c r="J39" s="72">
        <v>1.69614147909968</v>
      </c>
      <c r="K39" s="72">
        <v>72.447492981995197</v>
      </c>
      <c r="L39" s="72">
        <v>-33.314187534101201</v>
      </c>
      <c r="M39" s="72">
        <v>114.308751725261</v>
      </c>
      <c r="N39" s="72">
        <v>5.3578795655825396E-4</v>
      </c>
      <c r="O39" s="72">
        <v>0.89447352060574803</v>
      </c>
      <c r="P39" s="72">
        <v>1.4113138686131399</v>
      </c>
      <c r="Q39" s="77">
        <v>4.2745796260366902</v>
      </c>
    </row>
    <row r="40" spans="10:17" ht="14.25">
      <c r="J40" s="72">
        <v>1.7433011789924999</v>
      </c>
      <c r="K40" s="72">
        <v>72.742081491836103</v>
      </c>
      <c r="L40" s="72">
        <v>-33.077707054710999</v>
      </c>
      <c r="M40" s="72">
        <v>114.07227124587099</v>
      </c>
      <c r="N40" s="72">
        <v>1.0715759131165101E-3</v>
      </c>
      <c r="O40" s="72">
        <v>0.898110659872843</v>
      </c>
      <c r="P40" s="72">
        <v>1.4083941605839401</v>
      </c>
      <c r="Q40" s="77">
        <v>4.1758422171356999</v>
      </c>
    </row>
    <row r="41" spans="10:17" ht="14.25">
      <c r="J41" s="72">
        <v>1.7926045016077199</v>
      </c>
      <c r="K41" s="72">
        <v>73.450466554742704</v>
      </c>
      <c r="L41" s="72">
        <v>-33.5211079535677</v>
      </c>
      <c r="M41" s="72">
        <v>114.515672144728</v>
      </c>
      <c r="N41" s="72">
        <v>5.3578795655825396E-4</v>
      </c>
      <c r="O41" s="72">
        <v>0.90685674141523698</v>
      </c>
      <c r="P41" s="72">
        <v>1.4138686131386899</v>
      </c>
      <c r="Q41" s="77">
        <v>4.1005080373933698</v>
      </c>
    </row>
    <row r="42" spans="10:17" ht="14.25">
      <c r="J42" s="72">
        <v>1.84565916398714</v>
      </c>
      <c r="K42" s="72">
        <v>74.306573502807893</v>
      </c>
      <c r="L42" s="72">
        <v>-34.141869211967098</v>
      </c>
      <c r="M42" s="72">
        <v>115.136433403127</v>
      </c>
      <c r="N42" s="72">
        <v>1.0715759131165101E-3</v>
      </c>
      <c r="O42" s="72">
        <v>0.91742667233115305</v>
      </c>
      <c r="P42" s="72">
        <v>1.4215328467153301</v>
      </c>
      <c r="Q42" s="77">
        <v>4.0290211793233999</v>
      </c>
    </row>
    <row r="43" spans="10:17" ht="14.25">
      <c r="J43" s="72">
        <v>1.89067524115756</v>
      </c>
      <c r="K43" s="72">
        <v>74.394292425626304</v>
      </c>
      <c r="L43" s="72">
        <v>-33.580228073415299</v>
      </c>
      <c r="M43" s="72">
        <v>114.574792264575</v>
      </c>
      <c r="N43" s="72">
        <v>-5.3578795655825396E-4</v>
      </c>
      <c r="O43" s="72">
        <v>0.91850969467585397</v>
      </c>
      <c r="P43" s="72">
        <v>1.41459854014599</v>
      </c>
      <c r="Q43" s="77">
        <v>3.9377316588967402</v>
      </c>
    </row>
    <row r="44" spans="10:17" ht="14.25">
      <c r="J44" s="72">
        <v>1.9431939978563799</v>
      </c>
      <c r="K44" s="72">
        <v>74.984374008245297</v>
      </c>
      <c r="L44" s="72">
        <v>-34.200989331814696</v>
      </c>
      <c r="M44" s="72">
        <v>115.195553522975</v>
      </c>
      <c r="N44" s="72">
        <v>5.3578795655825396E-4</v>
      </c>
      <c r="O44" s="72">
        <v>0.92579514140319696</v>
      </c>
      <c r="P44" s="72">
        <v>1.4222627737226301</v>
      </c>
      <c r="Q44" s="77">
        <v>3.8616730600949798</v>
      </c>
    </row>
    <row r="45" spans="10:17" ht="14.25">
      <c r="J45" s="72">
        <v>1.9951768488746</v>
      </c>
      <c r="K45" s="72">
        <v>75.692709217752295</v>
      </c>
      <c r="L45" s="72">
        <v>-34.023628972272</v>
      </c>
      <c r="M45" s="72">
        <v>115.018193163432</v>
      </c>
      <c r="N45" s="72">
        <v>1.0715759131165101E-3</v>
      </c>
      <c r="O45" s="72">
        <v>0.93454060743021505</v>
      </c>
      <c r="P45" s="72">
        <v>1.4200729927007301</v>
      </c>
      <c r="Q45" s="77">
        <v>3.7965624136444802</v>
      </c>
    </row>
    <row r="46" spans="10:17" ht="14.25">
      <c r="J46" s="72">
        <v>2.0412647374062201</v>
      </c>
      <c r="K46" s="72">
        <v>76.046450789694106</v>
      </c>
      <c r="L46" s="72">
        <v>-34.082749092119499</v>
      </c>
      <c r="M46" s="72">
        <v>115.07731328328001</v>
      </c>
      <c r="N46" s="72">
        <v>1.0715759131165101E-3</v>
      </c>
      <c r="O46" s="72">
        <v>0.93890808042639096</v>
      </c>
      <c r="P46" s="72">
        <v>1.4208029197080301</v>
      </c>
      <c r="Q46" s="77">
        <v>3.72817276012674</v>
      </c>
    </row>
    <row r="47" spans="10:17" ht="14.25">
      <c r="J47" s="72">
        <v>2.0953912111468398</v>
      </c>
      <c r="K47" s="72">
        <v>76.636504019183704</v>
      </c>
      <c r="L47" s="72">
        <v>-34.3783496913573</v>
      </c>
      <c r="M47" s="72">
        <v>115.372913882517</v>
      </c>
      <c r="N47" s="72">
        <v>0</v>
      </c>
      <c r="O47" s="72">
        <v>0.946193177091606</v>
      </c>
      <c r="P47" s="72">
        <v>1.4244525547445299</v>
      </c>
      <c r="Q47" s="77">
        <v>3.6600291498581901</v>
      </c>
    </row>
    <row r="48" spans="10:17" ht="14.25">
      <c r="J48" s="72">
        <v>2.1414790996784601</v>
      </c>
      <c r="K48" s="72">
        <v>77.197169347794002</v>
      </c>
      <c r="L48" s="72">
        <v>-34.644390230671398</v>
      </c>
      <c r="M48" s="72">
        <v>115.638954421831</v>
      </c>
      <c r="N48" s="72">
        <v>0</v>
      </c>
      <c r="O48" s="72">
        <v>0.95311543581611702</v>
      </c>
      <c r="P48" s="72">
        <v>1.42773722627737</v>
      </c>
      <c r="Q48" s="77">
        <v>3.6074409725385799</v>
      </c>
    </row>
    <row r="49" spans="10:17" ht="14.25">
      <c r="J49" s="72">
        <v>2.19024651661308</v>
      </c>
      <c r="K49" s="72">
        <v>77.7873396743867</v>
      </c>
      <c r="L49" s="72">
        <v>-35.176471309299401</v>
      </c>
      <c r="M49" s="72">
        <v>116.171035500459</v>
      </c>
      <c r="N49" s="72">
        <v>1.0715759131165101E-3</v>
      </c>
      <c r="O49" s="72">
        <v>0.960401978221602</v>
      </c>
      <c r="P49" s="72">
        <v>1.4343065693430701</v>
      </c>
      <c r="Q49" s="77">
        <v>3.55406408348578</v>
      </c>
    </row>
    <row r="50" spans="10:17" ht="14.25">
      <c r="J50" s="72">
        <v>2.2406216505895</v>
      </c>
      <c r="K50" s="72">
        <v>78.259237580810407</v>
      </c>
      <c r="L50" s="72">
        <v>-35.472071908537202</v>
      </c>
      <c r="M50" s="72">
        <v>116.466636099697</v>
      </c>
      <c r="N50" s="72">
        <v>5.3578795655825396E-4</v>
      </c>
      <c r="O50" s="72">
        <v>0.96622826929602601</v>
      </c>
      <c r="P50" s="72">
        <v>1.43795620437956</v>
      </c>
      <c r="Q50" s="77">
        <v>3.4952202962317802</v>
      </c>
    </row>
    <row r="51" spans="10:17" ht="14.25">
      <c r="J51" s="72">
        <v>2.28992497320472</v>
      </c>
      <c r="K51" s="72">
        <v>78.642479701067501</v>
      </c>
      <c r="L51" s="72">
        <v>-35.294711548994599</v>
      </c>
      <c r="M51" s="72">
        <v>116.28927574015501</v>
      </c>
      <c r="N51" s="72">
        <v>-5.3578795655825396E-4</v>
      </c>
      <c r="O51" s="72">
        <v>0.97095997103532505</v>
      </c>
      <c r="P51" s="72">
        <v>1.4357664233576599</v>
      </c>
      <c r="Q51" s="77">
        <v>3.43670232580974</v>
      </c>
    </row>
    <row r="52" spans="10:17" ht="14.25">
      <c r="J52" s="72">
        <v>2.3419078242229401</v>
      </c>
      <c r="K52" s="72">
        <v>79.3212678738725</v>
      </c>
      <c r="L52" s="72">
        <v>-35.7381124478513</v>
      </c>
      <c r="M52" s="72">
        <v>116.732676639011</v>
      </c>
      <c r="N52" s="72">
        <v>1.0715759131165101E-3</v>
      </c>
      <c r="O52" s="72">
        <v>0.97934063434999996</v>
      </c>
      <c r="P52" s="72">
        <v>1.44124087591241</v>
      </c>
      <c r="Q52" s="77">
        <v>3.3894029545149702</v>
      </c>
    </row>
    <row r="53" spans="10:17" ht="14.25">
      <c r="J53" s="72">
        <v>2.3885316184351599</v>
      </c>
      <c r="K53" s="72">
        <v>79.734129869878402</v>
      </c>
      <c r="L53" s="72">
        <v>-35.797232567698799</v>
      </c>
      <c r="M53" s="72">
        <v>116.79179675885899</v>
      </c>
      <c r="N53" s="72">
        <v>5.3578795655825396E-4</v>
      </c>
      <c r="O53" s="72">
        <v>0.98443803810948505</v>
      </c>
      <c r="P53" s="72">
        <v>1.44197080291971</v>
      </c>
      <c r="Q53" s="77">
        <v>3.3405274758099899</v>
      </c>
    </row>
    <row r="54" spans="10:17" ht="14.25">
      <c r="J54" s="72">
        <v>2.4448017148981802</v>
      </c>
      <c r="K54" s="72">
        <v>80.117231378451294</v>
      </c>
      <c r="L54" s="72">
        <v>-35.708552387927497</v>
      </c>
      <c r="M54" s="72">
        <v>116.703116579088</v>
      </c>
      <c r="N54" s="72">
        <v>5.3578795655825396E-4</v>
      </c>
      <c r="O54" s="72">
        <v>0.98916800378556202</v>
      </c>
      <c r="P54" s="72">
        <v>1.44087591240876</v>
      </c>
      <c r="Q54" s="77">
        <v>3.2793112014872499</v>
      </c>
    </row>
    <row r="55" spans="10:17" ht="14.25">
      <c r="J55" s="72">
        <v>2.489281886388</v>
      </c>
      <c r="K55" s="72">
        <v>80.825742250425805</v>
      </c>
      <c r="L55" s="72">
        <v>-36.536234065793401</v>
      </c>
      <c r="M55" s="72">
        <v>117.53079825695301</v>
      </c>
      <c r="N55" s="72">
        <v>5.3578795655825396E-4</v>
      </c>
      <c r="O55" s="72">
        <v>0.99791563863056598</v>
      </c>
      <c r="P55" s="72">
        <v>1.45109489051095</v>
      </c>
      <c r="Q55" s="77">
        <v>3.2491767125716402</v>
      </c>
    </row>
    <row r="56" spans="10:17" ht="14.25">
      <c r="J56" s="72">
        <v>2.5369774919614101</v>
      </c>
      <c r="K56" s="72">
        <v>81.061226482068193</v>
      </c>
      <c r="L56" s="72">
        <v>-36.151953286784199</v>
      </c>
      <c r="M56" s="72">
        <v>117.146517477944</v>
      </c>
      <c r="N56" s="72">
        <v>5.3578795655825396E-4</v>
      </c>
      <c r="O56" s="72">
        <v>1.0008230464793999</v>
      </c>
      <c r="P56" s="72">
        <v>1.4463503649634999</v>
      </c>
      <c r="Q56" s="77">
        <v>3.1973737193746898</v>
      </c>
    </row>
    <row r="57" spans="10:17" ht="14.25">
      <c r="J57" s="72">
        <v>2.59110396570204</v>
      </c>
      <c r="K57" s="72">
        <v>81.267018319321807</v>
      </c>
      <c r="L57" s="72">
        <v>-36.211073406631797</v>
      </c>
      <c r="M57" s="72">
        <v>117.20563759779201</v>
      </c>
      <c r="N57" s="72">
        <v>1.0715759131165101E-3</v>
      </c>
      <c r="O57" s="72">
        <v>1.0033638569561101</v>
      </c>
      <c r="P57" s="72">
        <v>1.4470802919707999</v>
      </c>
      <c r="Q57" s="77">
        <v>3.1385249109309798</v>
      </c>
    </row>
    <row r="58" spans="10:17" ht="14.25">
      <c r="J58" s="72">
        <v>2.6387995712754599</v>
      </c>
      <c r="K58" s="72">
        <v>81.827666719147302</v>
      </c>
      <c r="L58" s="72">
        <v>-36.477113945945803</v>
      </c>
      <c r="M58" s="72">
        <v>117.471678137106</v>
      </c>
      <c r="N58" s="72">
        <v>5.3578795655825396E-4</v>
      </c>
      <c r="O58" s="72">
        <v>1.01028590666926</v>
      </c>
      <c r="P58" s="72">
        <v>1.45036496350365</v>
      </c>
      <c r="Q58" s="77">
        <v>3.1030432444676501</v>
      </c>
    </row>
    <row r="59" spans="10:17" ht="14.25">
      <c r="J59" s="72">
        <v>2.6864951768488701</v>
      </c>
      <c r="K59" s="72">
        <v>82.388316762672403</v>
      </c>
      <c r="L59" s="72">
        <v>-36.831834665031202</v>
      </c>
      <c r="M59" s="72">
        <v>117.82639885619101</v>
      </c>
      <c r="N59" s="72">
        <v>1.0715759131165101E-3</v>
      </c>
      <c r="O59" s="72">
        <v>1.01720797667635</v>
      </c>
      <c r="P59" s="72">
        <v>1.45474452554745</v>
      </c>
      <c r="Q59" s="77">
        <v>3.0688215108478998</v>
      </c>
    </row>
    <row r="60" spans="10:17" ht="14.25">
      <c r="J60" s="72">
        <v>2.7379421221864901</v>
      </c>
      <c r="K60" s="72">
        <v>82.830650457911304</v>
      </c>
      <c r="L60" s="72">
        <v>-37.275235563887897</v>
      </c>
      <c r="M60" s="72">
        <v>118.269799755048</v>
      </c>
      <c r="N60" s="72">
        <v>0</v>
      </c>
      <c r="O60" s="72">
        <v>1.0226692529935399</v>
      </c>
      <c r="P60" s="72">
        <v>1.4602189781021899</v>
      </c>
      <c r="Q60" s="77">
        <v>3.0273129186557202</v>
      </c>
    </row>
    <row r="61" spans="10:17" ht="14.25">
      <c r="J61" s="72">
        <v>2.7872454448017101</v>
      </c>
      <c r="K61" s="72">
        <v>83.479950833994494</v>
      </c>
      <c r="L61" s="72">
        <v>-37.777756582592197</v>
      </c>
      <c r="M61" s="72">
        <v>118.772320773752</v>
      </c>
      <c r="N61" s="72">
        <v>5.3578795655825396E-4</v>
      </c>
      <c r="O61" s="72">
        <v>1.0306858450027401</v>
      </c>
      <c r="P61" s="72">
        <v>1.46642335766423</v>
      </c>
      <c r="Q61" s="77">
        <v>2.9970584794441901</v>
      </c>
    </row>
    <row r="62" spans="10:17" ht="14.25">
      <c r="J62" s="72">
        <v>2.8413719185423401</v>
      </c>
      <c r="K62" s="72">
        <v>83.7744326387201</v>
      </c>
      <c r="L62" s="72">
        <v>-37.659516342897</v>
      </c>
      <c r="M62" s="72">
        <v>118.654080534057</v>
      </c>
      <c r="N62" s="72">
        <v>5.3578795655825396E-4</v>
      </c>
      <c r="O62" s="72">
        <v>1.03432166683432</v>
      </c>
      <c r="P62" s="72">
        <v>1.46496350364963</v>
      </c>
      <c r="Q62" s="77">
        <v>2.9503303388063</v>
      </c>
    </row>
    <row r="63" spans="10:17" ht="14.25">
      <c r="J63" s="72">
        <v>2.8885316184351599</v>
      </c>
      <c r="K63" s="72">
        <v>84.364660771604093</v>
      </c>
      <c r="L63" s="72">
        <v>-37.955116942134801</v>
      </c>
      <c r="M63" s="72">
        <v>118.949681133295</v>
      </c>
      <c r="N63" s="72">
        <v>5.3578795655825396E-4</v>
      </c>
      <c r="O63" s="72">
        <v>1.04160892294562</v>
      </c>
      <c r="P63" s="72">
        <v>1.4686131386861301</v>
      </c>
      <c r="Q63" s="77">
        <v>2.92259518106626</v>
      </c>
    </row>
    <row r="64" spans="10:17" ht="14.25">
      <c r="J64" s="72">
        <v>2.94051446945338</v>
      </c>
      <c r="K64" s="72">
        <v>84.718310768924098</v>
      </c>
      <c r="L64" s="72">
        <v>-38.014237061982399</v>
      </c>
      <c r="M64" s="72">
        <v>119.008801253142</v>
      </c>
      <c r="N64" s="72">
        <v>5.3578795655825396E-4</v>
      </c>
      <c r="O64" s="72">
        <v>1.04597526531503</v>
      </c>
      <c r="P64" s="72">
        <v>1.4693430656934301</v>
      </c>
      <c r="Q64" s="77">
        <v>2.8829559167937102</v>
      </c>
    </row>
    <row r="65" spans="10:17" ht="14.25">
      <c r="J65" s="72">
        <v>2.9882100750267999</v>
      </c>
      <c r="K65" s="72">
        <v>85.367651390005307</v>
      </c>
      <c r="L65" s="72">
        <v>-38.457637960839101</v>
      </c>
      <c r="M65" s="72">
        <v>119.452202151999</v>
      </c>
      <c r="N65" s="72">
        <v>2.14315182623361E-3</v>
      </c>
      <c r="O65" s="72">
        <v>1.0539923542094001</v>
      </c>
      <c r="P65" s="72">
        <v>1.47481751824818</v>
      </c>
      <c r="Q65" s="77">
        <v>2.8586703865388801</v>
      </c>
    </row>
    <row r="66" spans="10:17" ht="14.25">
      <c r="J66" s="72">
        <v>3.0369774919614101</v>
      </c>
      <c r="K66" s="72">
        <v>85.484890593838301</v>
      </c>
      <c r="L66" s="72">
        <v>-38.841918739848303</v>
      </c>
      <c r="M66" s="72">
        <v>119.83648293100801</v>
      </c>
      <c r="N66" s="72">
        <v>1.0715759131165101E-3</v>
      </c>
      <c r="O66" s="72">
        <v>1.0554398489271499</v>
      </c>
      <c r="P66" s="72">
        <v>1.4795620437956201</v>
      </c>
      <c r="Q66" s="77">
        <v>2.8166265944549198</v>
      </c>
    </row>
    <row r="67" spans="10:17" ht="14.25">
      <c r="J67" s="72">
        <v>3.08896034297964</v>
      </c>
      <c r="K67" s="72">
        <v>85.956786406483104</v>
      </c>
      <c r="L67" s="72">
        <v>-39.019279099390999</v>
      </c>
      <c r="M67" s="72">
        <v>120.01384329055099</v>
      </c>
      <c r="N67" s="72">
        <v>1.0715759131165101E-3</v>
      </c>
      <c r="O67" s="72">
        <v>1.06126611415072</v>
      </c>
      <c r="P67" s="72">
        <v>1.4817518248175201</v>
      </c>
      <c r="Q67" s="77">
        <v>2.7845035859499601</v>
      </c>
    </row>
    <row r="68" spans="10:17" ht="14.25">
      <c r="J68" s="72">
        <v>3.1366559485530501</v>
      </c>
      <c r="K68" s="72">
        <v>86.458331843729397</v>
      </c>
      <c r="L68" s="72">
        <v>-39.1670793990099</v>
      </c>
      <c r="M68" s="72">
        <v>120.16164359017</v>
      </c>
      <c r="N68" s="72">
        <v>5.3578795655825396E-4</v>
      </c>
      <c r="O68" s="72">
        <v>1.0674584486889001</v>
      </c>
      <c r="P68" s="72">
        <v>1.4835766423357699</v>
      </c>
      <c r="Q68" s="77">
        <v>2.7581525795328399</v>
      </c>
    </row>
    <row r="69" spans="10:17" ht="14.25">
      <c r="J69" s="72">
        <v>3.18917470525188</v>
      </c>
      <c r="K69" s="72">
        <v>86.871100348328497</v>
      </c>
      <c r="L69" s="72">
        <v>-39.403559878400102</v>
      </c>
      <c r="M69" s="72">
        <v>120.39812406956</v>
      </c>
      <c r="N69" s="72">
        <v>5.3578795655825396E-4</v>
      </c>
      <c r="O69" s="72">
        <v>1.0725546981560301</v>
      </c>
      <c r="P69" s="72">
        <v>1.48649635036496</v>
      </c>
      <c r="Q69" s="77">
        <v>2.72567461787329</v>
      </c>
    </row>
    <row r="70" spans="10:17" ht="14.25">
      <c r="J70" s="72">
        <v>3.2379421221864999</v>
      </c>
      <c r="K70" s="72">
        <v>87.254387172809601</v>
      </c>
      <c r="L70" s="72">
        <v>-39.433119938323898</v>
      </c>
      <c r="M70" s="72">
        <v>120.42768412948401</v>
      </c>
      <c r="N70" s="72">
        <v>1.0715759131165101E-3</v>
      </c>
      <c r="O70" s="72">
        <v>1.0772869518363599</v>
      </c>
      <c r="P70" s="72">
        <v>1.48686131386861</v>
      </c>
      <c r="Q70" s="77">
        <v>2.69645994247138</v>
      </c>
    </row>
    <row r="71" spans="10:17" ht="14.25">
      <c r="J71" s="72">
        <v>3.28992497320472</v>
      </c>
      <c r="K71" s="72">
        <v>87.755850593613403</v>
      </c>
      <c r="L71" s="72">
        <v>-39.906080897104403</v>
      </c>
      <c r="M71" s="72">
        <v>120.900645088264</v>
      </c>
      <c r="N71" s="72">
        <v>1.0715759131165101E-3</v>
      </c>
      <c r="O71" s="72">
        <v>1.0834782737579201</v>
      </c>
      <c r="P71" s="72">
        <v>1.4927007299270101</v>
      </c>
      <c r="Q71" s="77">
        <v>2.6690966031493901</v>
      </c>
    </row>
    <row r="72" spans="10:17" ht="14.25">
      <c r="J72" s="72">
        <v>3.3381564844587301</v>
      </c>
      <c r="K72" s="72">
        <v>88.286952142049202</v>
      </c>
      <c r="L72" s="72">
        <v>-40.260801616189802</v>
      </c>
      <c r="M72" s="72">
        <v>121.25536580735</v>
      </c>
      <c r="N72" s="72">
        <v>5.3578795655825396E-4</v>
      </c>
      <c r="O72" s="72">
        <v>1.0900355230466801</v>
      </c>
      <c r="P72" s="72">
        <v>1.4970802919707999</v>
      </c>
      <c r="Q72" s="77">
        <v>2.64644206063128</v>
      </c>
    </row>
    <row r="73" spans="10:17" ht="14.25">
      <c r="J73" s="72">
        <v>3.3879957127545599</v>
      </c>
      <c r="K73" s="72">
        <v>88.729342625527494</v>
      </c>
      <c r="L73" s="72">
        <v>-40.319921736037301</v>
      </c>
      <c r="M73" s="72">
        <v>121.314485927197</v>
      </c>
      <c r="N73" s="72">
        <v>5.3578795655825396E-4</v>
      </c>
      <c r="O73" s="72">
        <v>1.09549750050031</v>
      </c>
      <c r="P73" s="72">
        <v>1.4978102189781</v>
      </c>
      <c r="Q73" s="77">
        <v>2.6205690698970701</v>
      </c>
    </row>
    <row r="74" spans="10:17" ht="14.25">
      <c r="J74" s="72">
        <v>3.43569131832797</v>
      </c>
      <c r="K74" s="72">
        <v>89.083098068596897</v>
      </c>
      <c r="L74" s="72">
        <v>-40.704202515046497</v>
      </c>
      <c r="M74" s="72">
        <v>121.698766706207</v>
      </c>
      <c r="N74" s="72">
        <v>5.3578795655825396E-4</v>
      </c>
      <c r="O74" s="72">
        <v>1.09986514475646</v>
      </c>
      <c r="P74" s="72">
        <v>1.50255474452555</v>
      </c>
      <c r="Q74" s="77">
        <v>2.5944857940361898</v>
      </c>
    </row>
    <row r="75" spans="10:17" ht="14.25">
      <c r="J75" s="72">
        <v>3.4860664523043901</v>
      </c>
      <c r="K75" s="72">
        <v>89.466361127407893</v>
      </c>
      <c r="L75" s="72">
        <v>-40.704202515046497</v>
      </c>
      <c r="M75" s="72">
        <v>121.698766706207</v>
      </c>
      <c r="N75" s="72">
        <v>5.3578795655825396E-4</v>
      </c>
      <c r="O75" s="72">
        <v>1.1045971050137799</v>
      </c>
      <c r="P75" s="72">
        <v>1.50255474452555</v>
      </c>
      <c r="Q75" s="77">
        <v>2.56798851842278</v>
      </c>
    </row>
    <row r="76" spans="10:17" ht="14.25">
      <c r="J76" s="72">
        <v>3.5428724544480201</v>
      </c>
      <c r="K76" s="72">
        <v>89.908616583962299</v>
      </c>
      <c r="L76" s="72">
        <v>-41.0293631742081</v>
      </c>
      <c r="M76" s="72">
        <v>122.023927365368</v>
      </c>
      <c r="N76" s="72">
        <v>1.0715759131165101E-3</v>
      </c>
      <c r="O76" s="72">
        <v>1.11005741535646</v>
      </c>
      <c r="P76" s="72">
        <v>1.5065693430656899</v>
      </c>
      <c r="Q76" s="77">
        <v>2.5392966541420701</v>
      </c>
    </row>
    <row r="77" spans="10:17" ht="14.25">
      <c r="J77" s="72">
        <v>3.58467309753483</v>
      </c>
      <c r="K77" s="72">
        <v>90.085135559970794</v>
      </c>
      <c r="L77" s="72">
        <v>-41.3840838932935</v>
      </c>
      <c r="M77" s="72">
        <v>122.378648084453</v>
      </c>
      <c r="N77" s="72">
        <v>1.60736386967476E-3</v>
      </c>
      <c r="O77" s="72">
        <v>1.1122368082301901</v>
      </c>
      <c r="P77" s="72">
        <v>1.51094890510949</v>
      </c>
      <c r="Q77" s="77">
        <v>2.5146103485508098</v>
      </c>
    </row>
    <row r="78" spans="10:17" ht="14.25">
      <c r="J78" s="72">
        <v>3.6382636655948599</v>
      </c>
      <c r="K78" s="72">
        <v>90.557019668766003</v>
      </c>
      <c r="L78" s="72">
        <v>-41.295403713522099</v>
      </c>
      <c r="M78" s="72">
        <v>122.289967904682</v>
      </c>
      <c r="N78" s="72">
        <v>5.3578795655825396E-4</v>
      </c>
      <c r="O78" s="72">
        <v>1.11806292895208</v>
      </c>
      <c r="P78" s="72">
        <v>1.50985401459854</v>
      </c>
      <c r="Q78" s="77">
        <v>2.4905409038382</v>
      </c>
    </row>
    <row r="79" spans="10:17" ht="14.25">
      <c r="J79" s="72">
        <v>3.6864951768488701</v>
      </c>
      <c r="K79" s="72">
        <v>91.206373596326699</v>
      </c>
      <c r="L79" s="72">
        <v>-41.7388046123788</v>
      </c>
      <c r="M79" s="72">
        <v>122.73336880353899</v>
      </c>
      <c r="N79" s="72">
        <v>0</v>
      </c>
      <c r="O79" s="72">
        <v>1.1260801821349999</v>
      </c>
      <c r="P79" s="72">
        <v>1.5153284671532801</v>
      </c>
      <c r="Q79" s="77">
        <v>2.4755708153860199</v>
      </c>
    </row>
    <row r="80" spans="10:17" ht="14.25">
      <c r="J80" s="72">
        <v>3.7336548767416899</v>
      </c>
      <c r="K80" s="72">
        <v>91.382789687910503</v>
      </c>
      <c r="L80" s="72">
        <v>-41.650124432607498</v>
      </c>
      <c r="M80" s="72">
        <v>122.644688623768</v>
      </c>
      <c r="N80" s="72">
        <v>1.0715759131165101E-3</v>
      </c>
      <c r="O80" s="72">
        <v>1.1282583047454</v>
      </c>
      <c r="P80" s="72">
        <v>1.51423357664234</v>
      </c>
      <c r="Q80" s="77">
        <v>2.4490269673790599</v>
      </c>
    </row>
    <row r="81" spans="10:17" ht="14.25">
      <c r="J81" s="72">
        <v>3.7883172561629199</v>
      </c>
      <c r="K81" s="72">
        <v>91.795538045224205</v>
      </c>
      <c r="L81" s="72">
        <v>-42.270885691006903</v>
      </c>
      <c r="M81" s="72">
        <v>123.265449882167</v>
      </c>
      <c r="N81" s="72">
        <v>5.3578795655825396E-4</v>
      </c>
      <c r="O81" s="72">
        <v>1.1333543054639099</v>
      </c>
      <c r="P81" s="72">
        <v>1.52189781021898</v>
      </c>
      <c r="Q81" s="77">
        <v>2.4245847680300798</v>
      </c>
    </row>
    <row r="82" spans="10:17" ht="14.25">
      <c r="J82" s="72">
        <v>3.83547695605573</v>
      </c>
      <c r="K82" s="72">
        <v>92.178878025868698</v>
      </c>
      <c r="L82" s="72">
        <v>-42.477806110473402</v>
      </c>
      <c r="M82" s="72">
        <v>123.47237030163301</v>
      </c>
      <c r="N82" s="72">
        <v>5.3578795655825396E-4</v>
      </c>
      <c r="O82" s="72">
        <v>1.1380872154372199</v>
      </c>
      <c r="P82" s="72">
        <v>1.52445255474453</v>
      </c>
      <c r="Q82" s="77">
        <v>2.4047674955418401</v>
      </c>
    </row>
    <row r="83" spans="10:17" ht="14.25">
      <c r="J83" s="72">
        <v>3.8837084673097499</v>
      </c>
      <c r="K83" s="72">
        <v>92.473518107128996</v>
      </c>
      <c r="L83" s="72">
        <v>-42.714286589863597</v>
      </c>
      <c r="M83" s="72">
        <v>123.708850781024</v>
      </c>
      <c r="N83" s="72">
        <v>-5.3578795655825396E-4</v>
      </c>
      <c r="O83" s="72">
        <v>1.14172499143124</v>
      </c>
      <c r="P83" s="72">
        <v>1.5273722627737201</v>
      </c>
      <c r="Q83" s="77">
        <v>2.3824894169664801</v>
      </c>
    </row>
    <row r="84" spans="10:17" ht="14.25">
      <c r="J84" s="72">
        <v>3.93515541264737</v>
      </c>
      <c r="K84" s="72">
        <v>93.0045764859114</v>
      </c>
      <c r="L84" s="72">
        <v>-43.187247548644102</v>
      </c>
      <c r="M84" s="72">
        <v>124.181811739804</v>
      </c>
      <c r="N84" s="72">
        <v>5.3578795655825396E-4</v>
      </c>
      <c r="O84" s="72">
        <v>1.1482817077255401</v>
      </c>
      <c r="P84" s="72">
        <v>1.53321167883212</v>
      </c>
      <c r="Q84" s="77">
        <v>2.3648367558541299</v>
      </c>
    </row>
    <row r="85" spans="10:17" ht="14.25">
      <c r="J85" s="72">
        <v>3.9871382636655901</v>
      </c>
      <c r="K85" s="72">
        <v>93.446945974211701</v>
      </c>
      <c r="L85" s="72">
        <v>-43.187247548644102</v>
      </c>
      <c r="M85" s="72">
        <v>124.181811739804</v>
      </c>
      <c r="N85" s="72">
        <v>0</v>
      </c>
      <c r="O85" s="72">
        <v>1.15374342596204</v>
      </c>
      <c r="P85" s="72">
        <v>1.53321167883212</v>
      </c>
      <c r="Q85" s="77">
        <v>2.3450997909615201</v>
      </c>
    </row>
    <row r="86" spans="10:17" ht="14.25">
      <c r="J86" s="72">
        <v>4.0369774919614096</v>
      </c>
      <c r="K86" s="72">
        <v>93.741559528652203</v>
      </c>
      <c r="L86" s="72">
        <v>-43.275927728415397</v>
      </c>
      <c r="M86" s="72">
        <v>124.27049191957499</v>
      </c>
      <c r="N86" s="72">
        <v>1.0715759131165101E-3</v>
      </c>
      <c r="O86" s="72">
        <v>1.1573808744424801</v>
      </c>
      <c r="P86" s="72">
        <v>1.53430656934307</v>
      </c>
      <c r="Q86" s="77">
        <v>2.3234458162766898</v>
      </c>
    </row>
    <row r="87" spans="10:17" ht="14.25">
      <c r="J87" s="72">
        <v>4.0868167202572296</v>
      </c>
      <c r="K87" s="72">
        <v>94.036174877860802</v>
      </c>
      <c r="L87" s="72">
        <v>-43.423728028034297</v>
      </c>
      <c r="M87" s="72">
        <v>124.418292219194</v>
      </c>
      <c r="N87" s="72">
        <v>5.3578795655825396E-4</v>
      </c>
      <c r="O87" s="72">
        <v>1.1610183450820299</v>
      </c>
      <c r="P87" s="72">
        <v>1.53613138686131</v>
      </c>
      <c r="Q87" s="77">
        <v>2.3023200312319299</v>
      </c>
    </row>
    <row r="88" spans="10:17" ht="14.25">
      <c r="J88" s="72">
        <v>4.1414790996784596</v>
      </c>
      <c r="K88" s="72">
        <v>94.537617363461905</v>
      </c>
      <c r="L88" s="72">
        <v>-44.133169466205104</v>
      </c>
      <c r="M88" s="72">
        <v>125.127733657365</v>
      </c>
      <c r="N88" s="72">
        <v>1.0715759131165101E-3</v>
      </c>
      <c r="O88" s="72">
        <v>1.16720940852695</v>
      </c>
      <c r="P88" s="72">
        <v>1.5448905109489099</v>
      </c>
      <c r="Q88" s="77">
        <v>2.28404007841457</v>
      </c>
    </row>
    <row r="89" spans="10:17" ht="14.25">
      <c r="J89" s="72">
        <v>4.1822079314040703</v>
      </c>
      <c r="K89" s="72">
        <v>94.625495333941402</v>
      </c>
      <c r="L89" s="72">
        <v>-43.541968267729501</v>
      </c>
      <c r="M89" s="72">
        <v>124.53653245888999</v>
      </c>
      <c r="N89" s="72">
        <v>1.60736386967476E-3</v>
      </c>
      <c r="O89" s="72">
        <v>1.1682943945548001</v>
      </c>
      <c r="P89" s="72">
        <v>1.53759124087591</v>
      </c>
      <c r="Q89" s="77">
        <v>2.2638979696667501</v>
      </c>
    </row>
    <row r="90" spans="10:17" ht="14.25">
      <c r="J90" s="72">
        <v>4.2352625937834896</v>
      </c>
      <c r="K90" s="72">
        <v>95.333893586525207</v>
      </c>
      <c r="L90" s="72">
        <v>-44.3105298257478</v>
      </c>
      <c r="M90" s="72">
        <v>125.305094016908</v>
      </c>
      <c r="N90" s="72">
        <v>5.3578795655825396E-4</v>
      </c>
      <c r="O90" s="72">
        <v>1.1770406389436501</v>
      </c>
      <c r="P90" s="72">
        <v>1.5470802919708</v>
      </c>
      <c r="Q90" s="77">
        <v>2.2522645665204899</v>
      </c>
    </row>
    <row r="91" spans="10:17" ht="14.25">
      <c r="J91" s="72">
        <v>4.2883172561629204</v>
      </c>
      <c r="K91" s="72">
        <v>95.687573153844895</v>
      </c>
      <c r="L91" s="72">
        <v>-44.6652505448331</v>
      </c>
      <c r="M91" s="72">
        <v>125.659814735993</v>
      </c>
      <c r="N91" s="72">
        <v>0</v>
      </c>
      <c r="O91" s="72">
        <v>1.18140734639928</v>
      </c>
      <c r="P91" s="72">
        <v>1.5514598540146001</v>
      </c>
      <c r="Q91" s="77">
        <v>2.2326472727409801</v>
      </c>
    </row>
    <row r="92" spans="10:17" ht="14.25">
      <c r="J92" s="72">
        <v>4.3365487674169296</v>
      </c>
      <c r="K92" s="72">
        <v>95.893548836592601</v>
      </c>
      <c r="L92" s="72">
        <v>-44.783490784528297</v>
      </c>
      <c r="M92" s="72">
        <v>125.77805497568799</v>
      </c>
      <c r="N92" s="72">
        <v>1.0715759131165101E-3</v>
      </c>
      <c r="O92" s="72">
        <v>1.1839504267257801</v>
      </c>
      <c r="P92" s="72">
        <v>1.5529197080292001</v>
      </c>
      <c r="Q92" s="77">
        <v>2.2125653162226899</v>
      </c>
    </row>
    <row r="93" spans="10:17" ht="14.25">
      <c r="J93" s="72">
        <v>4.3842443729903504</v>
      </c>
      <c r="K93" s="72">
        <v>96.276897028891398</v>
      </c>
      <c r="L93" s="72">
        <v>-45.138211503613597</v>
      </c>
      <c r="M93" s="72">
        <v>126.132775694774</v>
      </c>
      <c r="N93" s="72">
        <v>5.3578795655825396E-4</v>
      </c>
      <c r="O93" s="72">
        <v>1.1886834380843501</v>
      </c>
      <c r="P93" s="72">
        <v>1.55729927007299</v>
      </c>
      <c r="Q93" s="77">
        <v>2.1972388841898298</v>
      </c>
    </row>
    <row r="94" spans="10:17" ht="14.25">
      <c r="J94" s="72">
        <v>4.4330117899249704</v>
      </c>
      <c r="K94" s="72">
        <v>96.808026263324606</v>
      </c>
      <c r="L94" s="72">
        <v>-45.463372162775201</v>
      </c>
      <c r="M94" s="72">
        <v>126.457936353935</v>
      </c>
      <c r="N94" s="72">
        <v>5.3578795655825396E-4</v>
      </c>
      <c r="O94" s="72">
        <v>1.1952410291984801</v>
      </c>
      <c r="P94" s="72">
        <v>1.56131386861314</v>
      </c>
      <c r="Q94" s="77">
        <v>2.1850483591274399</v>
      </c>
    </row>
    <row r="95" spans="10:17" ht="14.25">
      <c r="J95" s="72">
        <v>4.4849946409431896</v>
      </c>
      <c r="K95" s="72">
        <v>97.013933971729301</v>
      </c>
      <c r="L95" s="72">
        <v>-45.581612402470398</v>
      </c>
      <c r="M95" s="72">
        <v>126.57617659363</v>
      </c>
      <c r="N95" s="72">
        <v>1.60736386967476E-3</v>
      </c>
      <c r="O95" s="72">
        <v>1.1977832702792399</v>
      </c>
      <c r="P95" s="72">
        <v>1.5627737226277401</v>
      </c>
      <c r="Q95" s="77">
        <v>2.1643138254379899</v>
      </c>
    </row>
    <row r="96" spans="10:17" ht="14.25">
      <c r="J96" s="72">
        <v>4.5321543408360103</v>
      </c>
      <c r="K96" s="72">
        <v>97.308617511931899</v>
      </c>
      <c r="L96" s="72">
        <v>-45.5224922826228</v>
      </c>
      <c r="M96" s="72">
        <v>126.517056473783</v>
      </c>
      <c r="N96" s="72">
        <v>5.3578795655825396E-4</v>
      </c>
      <c r="O96" s="72">
        <v>1.2014215828394099</v>
      </c>
      <c r="P96" s="72">
        <v>1.56204379562044</v>
      </c>
      <c r="Q96" s="77">
        <v>2.1482949454525602</v>
      </c>
    </row>
    <row r="97" spans="10:17" ht="14.25">
      <c r="J97" s="72">
        <v>4.5841371918542304</v>
      </c>
      <c r="K97" s="72">
        <v>97.810129543370394</v>
      </c>
      <c r="L97" s="72">
        <v>-46.172813600946</v>
      </c>
      <c r="M97" s="72">
        <v>127.167377792106</v>
      </c>
      <c r="N97" s="72">
        <v>0</v>
      </c>
      <c r="O97" s="72">
        <v>1.20761350493254</v>
      </c>
      <c r="P97" s="72">
        <v>1.57007299270073</v>
      </c>
      <c r="Q97" s="77">
        <v>2.1348740353938198</v>
      </c>
    </row>
    <row r="98" spans="10:17" ht="14.25">
      <c r="J98" s="72">
        <v>4.6345123258306504</v>
      </c>
      <c r="K98" s="72">
        <v>98.075194164042202</v>
      </c>
      <c r="L98" s="72">
        <v>-46.350173960488704</v>
      </c>
      <c r="M98" s="72">
        <v>127.344738151649</v>
      </c>
      <c r="N98" s="72">
        <v>5.3578795655825396E-4</v>
      </c>
      <c r="O98" s="72">
        <v>1.2108861272784801</v>
      </c>
      <c r="P98" s="72">
        <v>1.57226277372263</v>
      </c>
      <c r="Q98" s="77">
        <v>2.1173882466438601</v>
      </c>
    </row>
    <row r="99" spans="10:17" ht="14.25">
      <c r="J99" s="72">
        <v>4.6848874598070704</v>
      </c>
      <c r="K99" s="72">
        <v>98.428940798057994</v>
      </c>
      <c r="L99" s="72">
        <v>-46.704894679573997</v>
      </c>
      <c r="M99" s="72">
        <v>127.69945887073401</v>
      </c>
      <c r="N99" s="72">
        <v>1.0715759131165101E-3</v>
      </c>
      <c r="O99" s="72">
        <v>1.2152536627735899</v>
      </c>
      <c r="P99" s="72">
        <v>1.5766423357664201</v>
      </c>
      <c r="Q99" s="77">
        <v>2.1021714343266402</v>
      </c>
    </row>
    <row r="100" spans="10:17" ht="14.25">
      <c r="J100" s="72">
        <v>4.7325830653804903</v>
      </c>
      <c r="K100" s="72">
        <v>98.634940635361403</v>
      </c>
      <c r="L100" s="72">
        <v>-46.734454739497799</v>
      </c>
      <c r="M100" s="72">
        <v>127.729018930658</v>
      </c>
      <c r="N100" s="72">
        <v>5.3578795655825396E-4</v>
      </c>
      <c r="O100" s="72">
        <v>1.2177970413244901</v>
      </c>
      <c r="P100" s="72">
        <v>1.5770072992700701</v>
      </c>
      <c r="Q100" s="77">
        <v>2.0853382684321402</v>
      </c>
    </row>
    <row r="101" spans="10:17" ht="14.25">
      <c r="J101" s="72">
        <v>4.7851018220793096</v>
      </c>
      <c r="K101" s="72">
        <v>99.195570000600895</v>
      </c>
      <c r="L101" s="72">
        <v>-46.941375158964298</v>
      </c>
      <c r="M101" s="72">
        <v>127.935939350124</v>
      </c>
      <c r="N101" s="72">
        <v>0</v>
      </c>
      <c r="O101" s="72">
        <v>1.2247188560269699</v>
      </c>
      <c r="P101" s="72">
        <v>1.5795620437956199</v>
      </c>
      <c r="Q101" s="77">
        <v>2.0741668370565498</v>
      </c>
    </row>
    <row r="102" spans="10:17" ht="14.25">
      <c r="J102" s="72">
        <v>4.8311897106109303</v>
      </c>
      <c r="K102" s="72">
        <v>99.726764838358207</v>
      </c>
      <c r="L102" s="72">
        <v>-47.621256537211202</v>
      </c>
      <c r="M102" s="72">
        <v>128.61582072837101</v>
      </c>
      <c r="N102" s="72">
        <v>0</v>
      </c>
      <c r="O102" s="72">
        <v>1.2312772571130499</v>
      </c>
      <c r="P102" s="72">
        <v>1.5879562043795601</v>
      </c>
      <c r="Q102" s="77">
        <v>2.0653751131229598</v>
      </c>
    </row>
    <row r="103" spans="10:17" ht="14.25">
      <c r="J103" s="72">
        <v>4.8826366559485503</v>
      </c>
      <c r="K103" s="72">
        <v>99.725777359044898</v>
      </c>
      <c r="L103" s="72">
        <v>-47.443896177668599</v>
      </c>
      <c r="M103" s="72">
        <v>128.438460368829</v>
      </c>
      <c r="N103" s="72">
        <v>1.0715759131165101E-3</v>
      </c>
      <c r="O103" s="72">
        <v>1.2312650651922299</v>
      </c>
      <c r="P103" s="72">
        <v>1.58576642335766</v>
      </c>
      <c r="Q103" s="77">
        <v>2.0435926222328602</v>
      </c>
    </row>
    <row r="104" spans="10:17" ht="14.25">
      <c r="J104" s="72">
        <v>4.9335476956055704</v>
      </c>
      <c r="K104" s="72">
        <v>100.404683426871</v>
      </c>
      <c r="L104" s="72">
        <v>-48.094217495991799</v>
      </c>
      <c r="M104" s="72">
        <v>129.08878168715199</v>
      </c>
      <c r="N104" s="72">
        <v>0</v>
      </c>
      <c r="O104" s="72">
        <v>1.23964718409867</v>
      </c>
      <c r="P104" s="72">
        <v>1.59379562043796</v>
      </c>
      <c r="Q104" s="77">
        <v>2.03626507206386</v>
      </c>
    </row>
    <row r="105" spans="10:17" ht="14.25">
      <c r="J105" s="72">
        <v>4.9828510182207904</v>
      </c>
      <c r="K105" s="72">
        <v>100.34462058089299</v>
      </c>
      <c r="L105" s="72">
        <v>-48.094217495991799</v>
      </c>
      <c r="M105" s="72">
        <v>129.08878168715199</v>
      </c>
      <c r="N105" s="72">
        <v>5.3578795655825396E-4</v>
      </c>
      <c r="O105" s="72">
        <v>1.23890561771607</v>
      </c>
      <c r="P105" s="72">
        <v>1.59379562043796</v>
      </c>
      <c r="Q105" s="77">
        <v>2.0149116505012401</v>
      </c>
    </row>
    <row r="106" spans="10:17" ht="14.25">
      <c r="J106" s="72">
        <v>5.0310825294748103</v>
      </c>
      <c r="K106" s="72">
        <v>100.698420767415</v>
      </c>
      <c r="L106" s="72">
        <v>-48.419378155153296</v>
      </c>
      <c r="M106" s="72">
        <v>129.41394234631301</v>
      </c>
      <c r="N106" s="72">
        <v>1.0715759131165101E-3</v>
      </c>
      <c r="O106" s="72">
        <v>1.2432738143976101</v>
      </c>
      <c r="P106" s="72">
        <v>1.5978102189781</v>
      </c>
      <c r="Q106" s="77">
        <v>2.0026275714918498</v>
      </c>
    </row>
    <row r="107" spans="10:17" ht="14.25">
      <c r="J107" s="72">
        <v>5.0836012861736304</v>
      </c>
      <c r="K107" s="72">
        <v>100.845220620951</v>
      </c>
      <c r="L107" s="72">
        <v>-48.212457735686897</v>
      </c>
      <c r="M107" s="72">
        <v>129.20702192684701</v>
      </c>
      <c r="N107" s="72">
        <v>0</v>
      </c>
      <c r="O107" s="72">
        <v>1.2450862799007201</v>
      </c>
      <c r="P107" s="72">
        <v>1.59525547445255</v>
      </c>
      <c r="Q107" s="77">
        <v>1.98482611151542</v>
      </c>
    </row>
    <row r="108" spans="10:17" ht="14.25">
      <c r="J108" s="72">
        <v>5.1334405144694504</v>
      </c>
      <c r="K108" s="72">
        <v>101.34679407975401</v>
      </c>
      <c r="L108" s="72">
        <v>-48.833218994086302</v>
      </c>
      <c r="M108" s="72">
        <v>129.82778318524601</v>
      </c>
      <c r="N108" s="72">
        <v>0</v>
      </c>
      <c r="O108" s="72">
        <v>1.25127896040727</v>
      </c>
      <c r="P108" s="72">
        <v>1.6029197080291999</v>
      </c>
      <c r="Q108" s="77">
        <v>1.9753266626211501</v>
      </c>
    </row>
    <row r="109" spans="10:17" ht="14.25">
      <c r="J109" s="72">
        <v>5.1816720257234703</v>
      </c>
      <c r="K109" s="72">
        <v>101.73015957416899</v>
      </c>
      <c r="L109" s="72">
        <v>-48.744538814315</v>
      </c>
      <c r="M109" s="72">
        <v>129.73910300547499</v>
      </c>
      <c r="N109" s="72">
        <v>0</v>
      </c>
      <c r="O109" s="72">
        <v>1.25601218538654</v>
      </c>
      <c r="P109" s="72">
        <v>1.6018248175182499</v>
      </c>
      <c r="Q109" s="77">
        <v>1.9643386185237099</v>
      </c>
    </row>
    <row r="110" spans="10:17" ht="14.25">
      <c r="J110" s="72">
        <v>5.2341907824222904</v>
      </c>
      <c r="K110" s="72">
        <v>101.906525202084</v>
      </c>
      <c r="L110" s="72">
        <v>-49.217499773095398</v>
      </c>
      <c r="M110" s="72">
        <v>130.21206396425501</v>
      </c>
      <c r="N110" s="72">
        <v>1.0715759131165101E-3</v>
      </c>
      <c r="O110" s="72">
        <v>1.2581896849468599</v>
      </c>
      <c r="P110" s="72">
        <v>1.60766423357664</v>
      </c>
      <c r="Q110" s="77">
        <v>1.94799835452797</v>
      </c>
    </row>
    <row r="111" spans="10:17" ht="14.25">
      <c r="J111" s="72">
        <v>5.2813504823151103</v>
      </c>
      <c r="K111" s="72">
        <v>102.26035439104299</v>
      </c>
      <c r="L111" s="72">
        <v>-49.542660432257001</v>
      </c>
      <c r="M111" s="72">
        <v>130.53722462341699</v>
      </c>
      <c r="N111" s="72">
        <v>5.3578795655825396E-4</v>
      </c>
      <c r="O111" s="72">
        <v>1.2625582397072099</v>
      </c>
      <c r="P111" s="72">
        <v>1.6116788321167901</v>
      </c>
      <c r="Q111" s="77">
        <v>1.93730334402177</v>
      </c>
    </row>
    <row r="112" spans="10:17" ht="14.25">
      <c r="J112" s="72">
        <v>5.3285101822079302</v>
      </c>
      <c r="K112" s="72">
        <v>102.82110560644</v>
      </c>
      <c r="L112" s="72">
        <v>-50.252101870427801</v>
      </c>
      <c r="M112" s="72">
        <v>131.246666061588</v>
      </c>
      <c r="N112" s="72">
        <v>0</v>
      </c>
      <c r="O112" s="72">
        <v>1.2694815588335699</v>
      </c>
      <c r="P112" s="72">
        <v>1.62043795620438</v>
      </c>
      <c r="Q112" s="77">
        <v>1.9306809445969499</v>
      </c>
    </row>
    <row r="113" spans="10:17" ht="14.25">
      <c r="J113" s="72">
        <v>5.3837084673097504</v>
      </c>
      <c r="K113" s="72">
        <v>102.96786633264399</v>
      </c>
      <c r="L113" s="72">
        <v>-50.015621391037499</v>
      </c>
      <c r="M113" s="72">
        <v>131.01018558219801</v>
      </c>
      <c r="N113" s="72">
        <v>1.0715759131165101E-3</v>
      </c>
      <c r="O113" s="72">
        <v>1.27129354125079</v>
      </c>
      <c r="P113" s="72">
        <v>1.61751824817518</v>
      </c>
      <c r="Q113" s="77">
        <v>1.9136120031492401</v>
      </c>
    </row>
    <row r="114" spans="10:17" ht="14.25">
      <c r="J114" s="72">
        <v>5.4351554126473696</v>
      </c>
      <c r="K114" s="72">
        <v>103.528540530553</v>
      </c>
      <c r="L114" s="72">
        <v>-50.902423188751001</v>
      </c>
      <c r="M114" s="72">
        <v>131.896987379911</v>
      </c>
      <c r="N114" s="72">
        <v>1.0715759131165101E-3</v>
      </c>
      <c r="O114" s="72">
        <v>1.27821590948016</v>
      </c>
      <c r="P114" s="72">
        <v>1.62846715328467</v>
      </c>
      <c r="Q114" s="77">
        <v>1.9058142367350599</v>
      </c>
    </row>
    <row r="115" spans="10:17" ht="14.25">
      <c r="J115" s="72">
        <v>5.4828510182207904</v>
      </c>
      <c r="K115" s="72">
        <v>103.557205864262</v>
      </c>
      <c r="L115" s="72">
        <v>-50.547702469665602</v>
      </c>
      <c r="M115" s="72">
        <v>131.54226666082599</v>
      </c>
      <c r="N115" s="72">
        <v>1.0715759131165101E-3</v>
      </c>
      <c r="O115" s="72">
        <v>1.27856982623982</v>
      </c>
      <c r="P115" s="72">
        <v>1.6240875912408801</v>
      </c>
      <c r="Q115" s="77">
        <v>1.8897582778063799</v>
      </c>
    </row>
    <row r="116" spans="10:17" ht="14.25">
      <c r="J116" s="72">
        <v>5.5305466237942102</v>
      </c>
      <c r="K116" s="72">
        <v>103.99971368060299</v>
      </c>
      <c r="L116" s="72">
        <v>-50.754622889132001</v>
      </c>
      <c r="M116" s="72">
        <v>131.74918708029199</v>
      </c>
      <c r="N116" s="72">
        <v>1.0715759131165101E-3</v>
      </c>
      <c r="O116" s="72">
        <v>1.2840332523445299</v>
      </c>
      <c r="P116" s="72">
        <v>1.6266423357664199</v>
      </c>
      <c r="Q116" s="77">
        <v>1.88146210259363</v>
      </c>
    </row>
    <row r="117" spans="10:17" ht="14.25">
      <c r="J117" s="72">
        <v>5.5814576634512303</v>
      </c>
      <c r="K117" s="72">
        <v>104.176122563471</v>
      </c>
      <c r="L117" s="72">
        <v>-50.281661930351603</v>
      </c>
      <c r="M117" s="72">
        <v>131.276226121512</v>
      </c>
      <c r="N117" s="72">
        <v>1.0715759131165101E-3</v>
      </c>
      <c r="O117" s="72">
        <v>1.2862112859524599</v>
      </c>
      <c r="P117" s="72">
        <v>1.62080291970803</v>
      </c>
      <c r="Q117" s="77">
        <v>1.86746104621311</v>
      </c>
    </row>
    <row r="118" spans="10:17" ht="14.25">
      <c r="J118" s="72">
        <v>5.6312968917470503</v>
      </c>
      <c r="K118" s="72">
        <v>104.500353591113</v>
      </c>
      <c r="L118" s="72">
        <v>-50.902423188751001</v>
      </c>
      <c r="M118" s="72">
        <v>131.896987379911</v>
      </c>
      <c r="N118" s="72">
        <v>0</v>
      </c>
      <c r="O118" s="72">
        <v>1.2902144067900101</v>
      </c>
      <c r="P118" s="72">
        <v>1.62846715328467</v>
      </c>
      <c r="Q118" s="77">
        <v>1.85669093129688</v>
      </c>
    </row>
    <row r="119" spans="10:17" ht="14.25">
      <c r="J119" s="72">
        <v>5.6838156484458704</v>
      </c>
      <c r="K119" s="72">
        <v>104.942776820362</v>
      </c>
      <c r="L119" s="72">
        <v>-51.5231844471503</v>
      </c>
      <c r="M119" s="72">
        <v>132.51774863831</v>
      </c>
      <c r="N119" s="72">
        <v>1.60736386967476E-3</v>
      </c>
      <c r="O119" s="72">
        <v>1.2956767885395499</v>
      </c>
      <c r="P119" s="72">
        <v>1.6361313868613101</v>
      </c>
      <c r="Q119" s="77">
        <v>1.8473189214261201</v>
      </c>
    </row>
    <row r="120" spans="10:17" ht="14.25">
      <c r="J120" s="72">
        <v>5.7309753483386903</v>
      </c>
      <c r="K120" s="72">
        <v>105.06014085093</v>
      </c>
      <c r="L120" s="72">
        <v>-51.641424686845497</v>
      </c>
      <c r="M120" s="72">
        <v>132.635988878006</v>
      </c>
      <c r="N120" s="72">
        <v>5.3578795655825396E-4</v>
      </c>
      <c r="O120" s="72">
        <v>1.29712582443152</v>
      </c>
      <c r="P120" s="72">
        <v>1.6375912408759099</v>
      </c>
      <c r="Q120" s="77">
        <v>1.83416538327561</v>
      </c>
    </row>
    <row r="121" spans="10:17" ht="14.25">
      <c r="J121" s="72">
        <v>5.7851018220793096</v>
      </c>
      <c r="K121" s="72">
        <v>105.50253808126899</v>
      </c>
      <c r="L121" s="72">
        <v>-51.966585346007101</v>
      </c>
      <c r="M121" s="72">
        <v>132.96114953716699</v>
      </c>
      <c r="N121" s="72">
        <v>0</v>
      </c>
      <c r="O121" s="72">
        <v>1.3025878851853101</v>
      </c>
      <c r="P121" s="72">
        <v>1.64160583941606</v>
      </c>
      <c r="Q121" s="77">
        <v>1.82465177692734</v>
      </c>
    </row>
    <row r="122" spans="10:17" ht="14.25">
      <c r="J122" s="72">
        <v>5.8327974276527303</v>
      </c>
      <c r="K122" s="72">
        <v>105.353855115388</v>
      </c>
      <c r="L122" s="72">
        <v>-51.966585346007101</v>
      </c>
      <c r="M122" s="72">
        <v>132.96114953716699</v>
      </c>
      <c r="N122" s="72">
        <v>0</v>
      </c>
      <c r="O122" s="72">
        <v>1.30075216982137</v>
      </c>
      <c r="P122" s="72">
        <v>1.64160583941606</v>
      </c>
      <c r="Q122" s="77">
        <v>1.8071822574878</v>
      </c>
    </row>
    <row r="123" spans="10:17" ht="14.25">
      <c r="J123" s="72">
        <v>5.8804930332261502</v>
      </c>
      <c r="K123" s="72">
        <v>105.737254871834</v>
      </c>
      <c r="L123" s="72">
        <v>-52.114385645626001</v>
      </c>
      <c r="M123" s="72">
        <v>133.108949836786</v>
      </c>
      <c r="N123" s="72">
        <v>1.0715759131165101E-3</v>
      </c>
      <c r="O123" s="72">
        <v>1.3054858178170801</v>
      </c>
      <c r="P123" s="72">
        <v>1.64343065693431</v>
      </c>
      <c r="Q123" s="77">
        <v>1.7990443894149399</v>
      </c>
    </row>
    <row r="124" spans="10:17" ht="14.25">
      <c r="J124" s="72">
        <v>5.9330117899249704</v>
      </c>
      <c r="K124" s="72">
        <v>106.06144731769299</v>
      </c>
      <c r="L124" s="72">
        <v>-52.380426184939999</v>
      </c>
      <c r="M124" s="72">
        <v>133.37499037609999</v>
      </c>
      <c r="N124" s="72">
        <v>1.0715759131165101E-3</v>
      </c>
      <c r="O124" s="72">
        <v>1.3094884623043499</v>
      </c>
      <c r="P124" s="72">
        <v>1.6467153284671501</v>
      </c>
      <c r="Q124" s="77">
        <v>1.78858354217752</v>
      </c>
    </row>
    <row r="125" spans="10:17" ht="14.25">
      <c r="J125" s="72">
        <v>5.97588424437299</v>
      </c>
      <c r="K125" s="72">
        <v>106.14933859673999</v>
      </c>
      <c r="L125" s="72">
        <v>-52.5282264845589</v>
      </c>
      <c r="M125" s="72">
        <v>133.52279067571899</v>
      </c>
      <c r="N125" s="72">
        <v>5.3578795655825396E-4</v>
      </c>
      <c r="O125" s="72">
        <v>1.3105736126465399</v>
      </c>
      <c r="P125" s="72">
        <v>1.6485401459854001</v>
      </c>
      <c r="Q125" s="77">
        <v>1.77722257269461</v>
      </c>
    </row>
    <row r="126" spans="10:17" ht="14.25">
      <c r="J126" s="72">
        <v>6.0342979635584104</v>
      </c>
      <c r="K126" s="72">
        <v>106.650786875682</v>
      </c>
      <c r="L126" s="72">
        <v>-52.705586844101603</v>
      </c>
      <c r="M126" s="72">
        <v>133.700151035262</v>
      </c>
      <c r="N126" s="72">
        <v>0</v>
      </c>
      <c r="O126" s="72">
        <v>1.3167647476189801</v>
      </c>
      <c r="P126" s="72">
        <v>1.6507299270072999</v>
      </c>
      <c r="Q126" s="77">
        <v>1.7683285219332201</v>
      </c>
    </row>
    <row r="127" spans="10:17" ht="14.25">
      <c r="J127" s="72">
        <v>6.0793140407288302</v>
      </c>
      <c r="K127" s="72">
        <v>106.916002398552</v>
      </c>
      <c r="L127" s="72">
        <v>-53.355908162424797</v>
      </c>
      <c r="M127" s="72">
        <v>134.35047235358499</v>
      </c>
      <c r="N127" s="72">
        <v>1.0715759131165101E-3</v>
      </c>
      <c r="O127" s="72">
        <v>1.3200392330800601</v>
      </c>
      <c r="P127" s="72">
        <v>1.6587591240875901</v>
      </c>
      <c r="Q127" s="77">
        <v>1.7595970004879899</v>
      </c>
    </row>
    <row r="128" spans="10:17" ht="14.25">
      <c r="J128" s="72">
        <v>6.1275455519828501</v>
      </c>
      <c r="K128" s="72">
        <v>107.181160616493</v>
      </c>
      <c r="L128" s="72">
        <v>-53.237667922729699</v>
      </c>
      <c r="M128" s="72">
        <v>134.23223211389001</v>
      </c>
      <c r="N128" s="72">
        <v>1.0715759131165101E-3</v>
      </c>
      <c r="O128" s="72">
        <v>1.3233130110253899</v>
      </c>
      <c r="P128" s="72">
        <v>1.65729927007299</v>
      </c>
      <c r="Q128" s="77">
        <v>1.75007406830535</v>
      </c>
    </row>
    <row r="129" spans="10:17" ht="14.25">
      <c r="J129" s="72">
        <v>6.1822079314040703</v>
      </c>
      <c r="K129" s="72">
        <v>107.534883403309</v>
      </c>
      <c r="L129" s="72">
        <v>-53.326348102501001</v>
      </c>
      <c r="M129" s="72">
        <v>134.320912293661</v>
      </c>
      <c r="N129" s="72">
        <v>5.3578795655825396E-4</v>
      </c>
      <c r="O129" s="72">
        <v>1.3276802520908599</v>
      </c>
      <c r="P129" s="72">
        <v>1.6583941605839401</v>
      </c>
      <c r="Q129" s="77">
        <v>1.74032173795278</v>
      </c>
    </row>
    <row r="130" spans="10:17" ht="14.25">
      <c r="J130" s="72">
        <v>6.2309753483386903</v>
      </c>
      <c r="K130" s="72">
        <v>107.50443485352601</v>
      </c>
      <c r="L130" s="72">
        <v>-53.1785478028821</v>
      </c>
      <c r="M130" s="72">
        <v>134.17311199404199</v>
      </c>
      <c r="N130" s="72">
        <v>5.3578795655825396E-4</v>
      </c>
      <c r="O130" s="72">
        <v>1.3273043188404301</v>
      </c>
      <c r="P130" s="72">
        <v>1.65656934306569</v>
      </c>
      <c r="Q130" s="77">
        <v>1.7262122533442601</v>
      </c>
    </row>
    <row r="131" spans="10:17" ht="14.25">
      <c r="J131" s="72">
        <v>6.2824222936763103</v>
      </c>
      <c r="K131" s="72">
        <v>107.887780187175</v>
      </c>
      <c r="L131" s="72">
        <v>-53.474148402119901</v>
      </c>
      <c r="M131" s="72">
        <v>134.46871259328</v>
      </c>
      <c r="N131" s="72">
        <v>5.3578795655825396E-4</v>
      </c>
      <c r="O131" s="72">
        <v>1.3320372949046699</v>
      </c>
      <c r="P131" s="72">
        <v>1.6602189781021901</v>
      </c>
      <c r="Q131" s="77">
        <v>1.7181781206937401</v>
      </c>
    </row>
    <row r="132" spans="10:17" ht="14.25">
      <c r="J132" s="72">
        <v>6.3295819935691302</v>
      </c>
      <c r="K132" s="72">
        <v>108.537245693933</v>
      </c>
      <c r="L132" s="72">
        <v>-54.449630379604699</v>
      </c>
      <c r="M132" s="72">
        <v>135.44419457076501</v>
      </c>
      <c r="N132" s="72">
        <v>5.3578795655825396E-4</v>
      </c>
      <c r="O132" s="72">
        <v>1.3400559257009901</v>
      </c>
      <c r="P132" s="72">
        <v>1.6722627737226301</v>
      </c>
      <c r="Q132" s="77">
        <v>1.7156373188090599</v>
      </c>
    </row>
    <row r="133" spans="10:17" ht="14.25">
      <c r="J133" s="72">
        <v>6.3772775991425501</v>
      </c>
      <c r="K133" s="72">
        <v>108.38858149208301</v>
      </c>
      <c r="L133" s="72">
        <v>-54.183589840290601</v>
      </c>
      <c r="M133" s="72">
        <v>135.17815403145099</v>
      </c>
      <c r="N133" s="72">
        <v>-5.3578795655825396E-4</v>
      </c>
      <c r="O133" s="72">
        <v>1.3382204420073001</v>
      </c>
      <c r="P133" s="72">
        <v>1.66897810218978</v>
      </c>
      <c r="Q133" s="77">
        <v>1.7004749270914701</v>
      </c>
    </row>
    <row r="134" spans="10:17" ht="14.25">
      <c r="J134" s="72">
        <v>6.4297963558413702</v>
      </c>
      <c r="K134" s="72">
        <v>108.624112609771</v>
      </c>
      <c r="L134" s="72">
        <v>-54.449630379604699</v>
      </c>
      <c r="M134" s="72">
        <v>135.44419457076501</v>
      </c>
      <c r="N134" s="72">
        <v>5.3578795655825396E-4</v>
      </c>
      <c r="O134" s="72">
        <v>1.34112842873505</v>
      </c>
      <c r="P134" s="72">
        <v>1.6722627737226301</v>
      </c>
      <c r="Q134" s="77">
        <v>1.6902485196657</v>
      </c>
    </row>
    <row r="135" spans="10:17" ht="14.25">
      <c r="J135" s="72">
        <v>6.4732047159699899</v>
      </c>
      <c r="K135" s="72">
        <v>108.88936997693099</v>
      </c>
      <c r="L135" s="72">
        <v>-54.449630379604699</v>
      </c>
      <c r="M135" s="72">
        <v>135.44419457076501</v>
      </c>
      <c r="N135" s="72">
        <v>0</v>
      </c>
      <c r="O135" s="72">
        <v>1.3444034308269699</v>
      </c>
      <c r="P135" s="72">
        <v>1.6722627737226301</v>
      </c>
      <c r="Q135" s="77">
        <v>1.6830117363739701</v>
      </c>
    </row>
    <row r="136" spans="10:17" ht="14.25">
      <c r="J136" s="72">
        <v>6.52411575562701</v>
      </c>
      <c r="K136" s="72">
        <v>109.331854075343</v>
      </c>
      <c r="L136" s="72">
        <v>-54.567870619299804</v>
      </c>
      <c r="M136" s="72">
        <v>135.56243481045999</v>
      </c>
      <c r="N136" s="72">
        <v>1.0715759131165101E-3</v>
      </c>
      <c r="O136" s="72">
        <v>1.34986656409809</v>
      </c>
      <c r="P136" s="72">
        <v>1.6737226277372299</v>
      </c>
      <c r="Q136" s="77">
        <v>1.67666061248767</v>
      </c>
    </row>
    <row r="137" spans="10:17" ht="14.25">
      <c r="J137" s="72">
        <v>6.5771704180064301</v>
      </c>
      <c r="K137" s="72">
        <v>109.390020785356</v>
      </c>
      <c r="L137" s="72">
        <v>-54.686110858994901</v>
      </c>
      <c r="M137" s="72">
        <v>135.680675050155</v>
      </c>
      <c r="N137" s="72">
        <v>0</v>
      </c>
      <c r="O137" s="72">
        <v>1.35058471982365</v>
      </c>
      <c r="P137" s="72">
        <v>1.6751824817518299</v>
      </c>
      <c r="Q137" s="77">
        <v>1.6640202236220401</v>
      </c>
    </row>
    <row r="138" spans="10:17" ht="14.25">
      <c r="J138" s="72">
        <v>6.62486602357985</v>
      </c>
      <c r="K138" s="72">
        <v>109.09356481635</v>
      </c>
      <c r="L138" s="72">
        <v>-54.360950199833297</v>
      </c>
      <c r="M138" s="72">
        <v>135.35551439099299</v>
      </c>
      <c r="N138" s="72">
        <v>0</v>
      </c>
      <c r="O138" s="72">
        <v>1.34692452395782</v>
      </c>
      <c r="P138" s="72">
        <v>1.6711678832116801</v>
      </c>
      <c r="Q138" s="77">
        <v>1.64756524192661</v>
      </c>
    </row>
    <row r="139" spans="10:17" ht="14.25">
      <c r="J139" s="72">
        <v>6.6779206859592701</v>
      </c>
      <c r="K139" s="72">
        <v>109.654256407273</v>
      </c>
      <c r="L139" s="72">
        <v>-54.7452309788425</v>
      </c>
      <c r="M139" s="72">
        <v>135.73979517000299</v>
      </c>
      <c r="N139" s="72">
        <v>1.0715759131165101E-3</v>
      </c>
      <c r="O139" s="72">
        <v>1.3538471069301901</v>
      </c>
      <c r="P139" s="72">
        <v>1.67591240875912</v>
      </c>
      <c r="Q139" s="77">
        <v>1.64287188600939</v>
      </c>
    </row>
    <row r="140" spans="10:17" ht="14.25">
      <c r="J140" s="72">
        <v>6.7266881028938901</v>
      </c>
      <c r="K140" s="72">
        <v>110.126346343485</v>
      </c>
      <c r="L140" s="72">
        <v>-54.833911158613802</v>
      </c>
      <c r="M140" s="72">
        <v>135.82847534977401</v>
      </c>
      <c r="N140" s="72">
        <v>0</v>
      </c>
      <c r="O140" s="72">
        <v>1.3596757689018399</v>
      </c>
      <c r="P140" s="72">
        <v>1.67700729927007</v>
      </c>
      <c r="Q140" s="77">
        <v>1.63797948961601</v>
      </c>
    </row>
    <row r="141" spans="10:17" ht="14.25">
      <c r="J141" s="72">
        <v>6.77599142550911</v>
      </c>
      <c r="K141" s="72">
        <v>109.94810713653</v>
      </c>
      <c r="L141" s="72">
        <v>-54.774791038766303</v>
      </c>
      <c r="M141" s="72">
        <v>135.76935522992599</v>
      </c>
      <c r="N141" s="72">
        <v>5.3578795655825396E-4</v>
      </c>
      <c r="O141" s="72">
        <v>1.3574751371837099</v>
      </c>
      <c r="P141" s="72">
        <v>1.67627737226277</v>
      </c>
      <c r="Q141" s="77">
        <v>1.6234308065202701</v>
      </c>
    </row>
    <row r="142" spans="10:17" ht="14.25">
      <c r="J142" s="72">
        <v>6.82583065380493</v>
      </c>
      <c r="K142" s="72">
        <v>110.21326106086001</v>
      </c>
      <c r="L142" s="72">
        <v>-54.715670918918697</v>
      </c>
      <c r="M142" s="72">
        <v>135.710235110079</v>
      </c>
      <c r="N142" s="72">
        <v>1.0715759131165101E-3</v>
      </c>
      <c r="O142" s="72">
        <v>1.36074886211795</v>
      </c>
      <c r="P142" s="72">
        <v>1.6755474452554699</v>
      </c>
      <c r="Q142" s="77">
        <v>1.6154617916245899</v>
      </c>
    </row>
    <row r="143" spans="10:17" ht="14.25">
      <c r="J143" s="72">
        <v>6.87513397642015</v>
      </c>
      <c r="K143" s="72">
        <v>110.50798634453299</v>
      </c>
      <c r="L143" s="72">
        <v>-54.863471218537597</v>
      </c>
      <c r="M143" s="72">
        <v>135.858035409698</v>
      </c>
      <c r="N143" s="72">
        <v>0</v>
      </c>
      <c r="O143" s="72">
        <v>1.3643876900642</v>
      </c>
      <c r="P143" s="72">
        <v>1.67737226277372</v>
      </c>
      <c r="Q143" s="77">
        <v>1.60816373667907</v>
      </c>
    </row>
    <row r="144" spans="10:17" ht="14.25">
      <c r="J144" s="72">
        <v>6.92604501607717</v>
      </c>
      <c r="K144" s="72">
        <v>110.68444468883401</v>
      </c>
      <c r="L144" s="72">
        <v>-54.922591338385203</v>
      </c>
      <c r="M144" s="72">
        <v>135.917155529545</v>
      </c>
      <c r="N144" s="72">
        <v>5.3578795655825396E-4</v>
      </c>
      <c r="O144" s="72">
        <v>1.3665663343480901</v>
      </c>
      <c r="P144" s="72">
        <v>1.67810218978102</v>
      </c>
      <c r="Q144" s="77">
        <v>1.59889041356409</v>
      </c>
    </row>
    <row r="145" spans="10:17" ht="14.25">
      <c r="J145" s="72">
        <v>6.9721329046087899</v>
      </c>
      <c r="K145" s="72">
        <v>111.00879040189299</v>
      </c>
      <c r="L145" s="72">
        <v>-55.2477519975468</v>
      </c>
      <c r="M145" s="72">
        <v>136.24231618870701</v>
      </c>
      <c r="N145" s="72">
        <v>0</v>
      </c>
      <c r="O145" s="72">
        <v>1.37057087115</v>
      </c>
      <c r="P145" s="72">
        <v>1.6821167883211701</v>
      </c>
      <c r="Q145" s="77">
        <v>1.5929732986133001</v>
      </c>
    </row>
    <row r="146" spans="10:17" ht="14.25">
      <c r="J146" s="72">
        <v>7.02411575562701</v>
      </c>
      <c r="K146" s="72">
        <v>110.80095264080001</v>
      </c>
      <c r="L146" s="72">
        <v>-54.804351098689999</v>
      </c>
      <c r="M146" s="72">
        <v>135.79891528984999</v>
      </c>
      <c r="N146" s="72">
        <v>1.60736386967476E-3</v>
      </c>
      <c r="O146" s="72">
        <v>1.3680048006591199</v>
      </c>
      <c r="P146" s="72">
        <v>1.67664233576642</v>
      </c>
      <c r="Q146" s="77">
        <v>1.57822538252378</v>
      </c>
    </row>
    <row r="147" spans="10:17" ht="14.25">
      <c r="J147" s="72">
        <v>7.0723472668810299</v>
      </c>
      <c r="K147" s="72">
        <v>111.332184323924</v>
      </c>
      <c r="L147" s="72">
        <v>-56.252794034955301</v>
      </c>
      <c r="M147" s="72">
        <v>137.24735822611501</v>
      </c>
      <c r="N147" s="72">
        <v>1.0715759131165101E-3</v>
      </c>
      <c r="O147" s="72">
        <v>1.37456365665678</v>
      </c>
      <c r="P147" s="72">
        <v>1.6945255474452601</v>
      </c>
      <c r="Q147" s="77">
        <v>1.5749737001447299</v>
      </c>
    </row>
    <row r="148" spans="10:17" ht="14.25">
      <c r="J148" s="72">
        <v>7.1302250803858502</v>
      </c>
      <c r="K148" s="72">
        <v>111.272047148185</v>
      </c>
      <c r="L148" s="72">
        <v>-55.3955522971657</v>
      </c>
      <c r="M148" s="72">
        <v>136.39011648832599</v>
      </c>
      <c r="N148" s="72">
        <v>5.3578795655825396E-4</v>
      </c>
      <c r="O148" s="72">
        <v>1.3738211725612199</v>
      </c>
      <c r="P148" s="72">
        <v>1.6839416058394201</v>
      </c>
      <c r="Q148" s="77">
        <v>1.5613458341839199</v>
      </c>
    </row>
    <row r="149" spans="10:17" ht="14.25">
      <c r="J149" s="72">
        <v>7.1768488745980701</v>
      </c>
      <c r="K149" s="72">
        <v>111.152989373683</v>
      </c>
      <c r="L149" s="72">
        <v>-55.809393136098599</v>
      </c>
      <c r="M149" s="72">
        <v>136.80395732725901</v>
      </c>
      <c r="N149" s="72">
        <v>0</v>
      </c>
      <c r="O149" s="72">
        <v>1.37235122484695</v>
      </c>
      <c r="P149" s="72">
        <v>1.68905109489051</v>
      </c>
      <c r="Q149" s="77">
        <v>1.5495437681522699</v>
      </c>
    </row>
    <row r="150" spans="10:17" ht="14.25">
      <c r="J150" s="72">
        <v>7.2234726688102899</v>
      </c>
      <c r="K150" s="72">
        <v>111.47733406869401</v>
      </c>
      <c r="L150" s="72">
        <v>-55.188631877699201</v>
      </c>
      <c r="M150" s="72">
        <v>136.18319606885899</v>
      </c>
      <c r="N150" s="72">
        <v>5.3578795655825396E-4</v>
      </c>
      <c r="O150" s="72">
        <v>1.37635574907953</v>
      </c>
      <c r="P150" s="72">
        <v>1.6813868613138701</v>
      </c>
      <c r="Q150" s="77">
        <v>1.5440324106524299</v>
      </c>
    </row>
    <row r="151" spans="10:17" ht="14.25">
      <c r="J151" s="72">
        <v>7.27438370846731</v>
      </c>
      <c r="K151" s="72">
        <v>111.860725646304</v>
      </c>
      <c r="L151" s="72">
        <v>-56.134553795260203</v>
      </c>
      <c r="M151" s="72">
        <v>137.12911798642</v>
      </c>
      <c r="N151" s="72">
        <v>0</v>
      </c>
      <c r="O151" s="72">
        <v>1.3810892960951699</v>
      </c>
      <c r="P151" s="72">
        <v>1.69306569343066</v>
      </c>
      <c r="Q151" s="77">
        <v>1.53849666506307</v>
      </c>
    </row>
    <row r="152" spans="10:17" ht="14.25">
      <c r="J152" s="72">
        <v>7.32422293676313</v>
      </c>
      <c r="K152" s="72">
        <v>111.712056679382</v>
      </c>
      <c r="L152" s="72">
        <v>-55.6024727166321</v>
      </c>
      <c r="M152" s="72">
        <v>136.59703690779199</v>
      </c>
      <c r="N152" s="72">
        <v>-5.3578795655825396E-4</v>
      </c>
      <c r="O152" s="72">
        <v>1.37925375356949</v>
      </c>
      <c r="P152" s="72">
        <v>1.6864963503649599</v>
      </c>
      <c r="Q152" s="77">
        <v>1.5259978124195901</v>
      </c>
    </row>
    <row r="153" spans="10:17" ht="14.25">
      <c r="J153" s="72">
        <v>7.37566988210075</v>
      </c>
      <c r="K153" s="72">
        <v>112.03632253226</v>
      </c>
      <c r="L153" s="72">
        <v>-55.809393136098599</v>
      </c>
      <c r="M153" s="72">
        <v>136.80395732725901</v>
      </c>
      <c r="N153" s="72">
        <v>0</v>
      </c>
      <c r="O153" s="72">
        <v>1.3832573043770799</v>
      </c>
      <c r="P153" s="72">
        <v>1.68905109489051</v>
      </c>
      <c r="Q153" s="77">
        <v>1.51975006252166</v>
      </c>
    </row>
    <row r="154" spans="10:17" ht="14.25">
      <c r="J154" s="72">
        <v>7.42550911039657</v>
      </c>
      <c r="K154" s="72">
        <v>112.12413769216001</v>
      </c>
      <c r="L154" s="72">
        <v>-55.188631877699201</v>
      </c>
      <c r="M154" s="72">
        <v>136.18319606885899</v>
      </c>
      <c r="N154" s="72">
        <v>0</v>
      </c>
      <c r="O154" s="72">
        <v>1.38434151491364</v>
      </c>
      <c r="P154" s="72">
        <v>1.6813868613138701</v>
      </c>
      <c r="Q154" s="77">
        <v>1.51073227622134</v>
      </c>
    </row>
    <row r="155" spans="10:17" ht="14.25">
      <c r="J155" s="72">
        <v>7.4737406216505899</v>
      </c>
      <c r="K155" s="72">
        <v>112.33022270447999</v>
      </c>
      <c r="L155" s="72">
        <v>-55.188631877699201</v>
      </c>
      <c r="M155" s="72">
        <v>136.18319606885899</v>
      </c>
      <c r="N155" s="72">
        <v>5.3578795655825396E-4</v>
      </c>
      <c r="O155" s="72">
        <v>1.38688594507853</v>
      </c>
      <c r="P155" s="72">
        <v>1.6813868613138701</v>
      </c>
      <c r="Q155" s="77">
        <v>1.5037402755357701</v>
      </c>
    </row>
    <row r="156" spans="10:17" ht="14.25">
      <c r="J156" s="72">
        <v>7.5278670953912101</v>
      </c>
      <c r="K156" s="72">
        <v>112.329287193569</v>
      </c>
      <c r="L156" s="72">
        <v>-55.927633375793697</v>
      </c>
      <c r="M156" s="72">
        <v>136.922197566954</v>
      </c>
      <c r="N156" s="72">
        <v>5.3578795655825396E-4</v>
      </c>
      <c r="O156" s="72">
        <v>1.3868743947859801</v>
      </c>
      <c r="P156" s="72">
        <v>1.69051094890511</v>
      </c>
      <c r="Q156" s="77">
        <v>1.4929157340560899</v>
      </c>
    </row>
    <row r="157" spans="10:17" ht="14.25">
      <c r="J157" s="72">
        <v>7.5723472668810299</v>
      </c>
      <c r="K157" s="72">
        <v>112.38764011178201</v>
      </c>
      <c r="L157" s="72">
        <v>-55.277312057470503</v>
      </c>
      <c r="M157" s="72">
        <v>136.271876248631</v>
      </c>
      <c r="N157" s="72">
        <v>5.3578795655825396E-4</v>
      </c>
      <c r="O157" s="72">
        <v>1.3875948495324799</v>
      </c>
      <c r="P157" s="72">
        <v>1.6824817518248201</v>
      </c>
      <c r="Q157" s="77">
        <v>1.48491691230179</v>
      </c>
    </row>
    <row r="158" spans="10:17" ht="14.25">
      <c r="J158" s="72">
        <v>7.6237942122186499</v>
      </c>
      <c r="K158" s="72">
        <v>112.682355128212</v>
      </c>
      <c r="L158" s="72">
        <v>-56.016313555565098</v>
      </c>
      <c r="M158" s="72">
        <v>137.01087774672499</v>
      </c>
      <c r="N158" s="72">
        <v>5.3578795655825396E-4</v>
      </c>
      <c r="O158" s="72">
        <v>1.39123355071415</v>
      </c>
      <c r="P158" s="72">
        <v>1.69160583941606</v>
      </c>
      <c r="Q158" s="77">
        <v>1.4787621111268301</v>
      </c>
    </row>
    <row r="159" spans="10:17" ht="14.25">
      <c r="J159" s="72">
        <v>7.6720257234726699</v>
      </c>
      <c r="K159" s="72">
        <v>112.740646751051</v>
      </c>
      <c r="L159" s="72">
        <v>-55.898073315869901</v>
      </c>
      <c r="M159" s="72">
        <v>136.89263750703</v>
      </c>
      <c r="N159" s="72">
        <v>1.0715759131165101E-3</v>
      </c>
      <c r="O159" s="72">
        <v>1.39195324867685</v>
      </c>
      <c r="P159" s="72">
        <v>1.69014598540146</v>
      </c>
      <c r="Q159" s="77">
        <v>1.4702254128046901</v>
      </c>
    </row>
    <row r="160" spans="10:17" ht="14.25">
      <c r="J160" s="72">
        <v>7.72400857449089</v>
      </c>
      <c r="K160" s="72">
        <v>112.85799593710701</v>
      </c>
      <c r="L160" s="72">
        <v>-56.193673915107802</v>
      </c>
      <c r="M160" s="72">
        <v>137.18823810626799</v>
      </c>
      <c r="N160" s="72">
        <v>0</v>
      </c>
      <c r="O160" s="72">
        <v>1.3934021012909501</v>
      </c>
      <c r="P160" s="72">
        <v>1.6937956204379601</v>
      </c>
      <c r="Q160" s="77">
        <v>1.46185002205162</v>
      </c>
    </row>
    <row r="161" spans="10:17" ht="14.25">
      <c r="J161" s="72">
        <v>7.77599142550911</v>
      </c>
      <c r="K161" s="72">
        <v>112.82754677602099</v>
      </c>
      <c r="L161" s="72">
        <v>-55.898073315869901</v>
      </c>
      <c r="M161" s="72">
        <v>136.89263750703</v>
      </c>
      <c r="N161" s="72">
        <v>1.0715759131165101E-3</v>
      </c>
      <c r="O161" s="72">
        <v>1.39302616049307</v>
      </c>
      <c r="P161" s="72">
        <v>1.69014598540146</v>
      </c>
      <c r="Q161" s="77">
        <v>1.4516859100187001</v>
      </c>
    </row>
    <row r="162" spans="10:17" ht="14.25">
      <c r="J162" s="72">
        <v>7.8263665594855301</v>
      </c>
      <c r="K162" s="72">
        <v>113.151847694826</v>
      </c>
      <c r="L162" s="72">
        <v>-56.223233975031498</v>
      </c>
      <c r="M162" s="72">
        <v>137.21779816619201</v>
      </c>
      <c r="N162" s="72">
        <v>0</v>
      </c>
      <c r="O162" s="72">
        <v>1.39703014424239</v>
      </c>
      <c r="P162" s="72">
        <v>1.6941605839416101</v>
      </c>
      <c r="Q162" s="77">
        <v>1.4464856960983601</v>
      </c>
    </row>
    <row r="163" spans="10:17" ht="14.25">
      <c r="J163" s="72">
        <v>7.8735262593783499</v>
      </c>
      <c r="K163" s="72">
        <v>113.417085032581</v>
      </c>
      <c r="L163" s="72">
        <v>-56.016313555565098</v>
      </c>
      <c r="M163" s="72">
        <v>137.01087774672499</v>
      </c>
      <c r="N163" s="72">
        <v>5.3578795655825396E-4</v>
      </c>
      <c r="O163" s="72">
        <v>1.40030489904111</v>
      </c>
      <c r="P163" s="72">
        <v>1.69160583941606</v>
      </c>
      <c r="Q163" s="77">
        <v>1.4411904705312699</v>
      </c>
    </row>
    <row r="164" spans="10:17" ht="14.25">
      <c r="J164" s="72">
        <v>7.9196141479099698</v>
      </c>
      <c r="K164" s="72">
        <v>113.209381218738</v>
      </c>
      <c r="L164" s="72">
        <v>-55.927633375793697</v>
      </c>
      <c r="M164" s="72">
        <v>136.922197566954</v>
      </c>
      <c r="N164" s="72">
        <v>1.0715759131165101E-3</v>
      </c>
      <c r="O164" s="72">
        <v>1.39774048233096</v>
      </c>
      <c r="P164" s="72">
        <v>1.69051094890511</v>
      </c>
      <c r="Q164" s="77">
        <v>1.4301808675993</v>
      </c>
    </row>
    <row r="165" spans="10:17" ht="14.25">
      <c r="J165" s="72">
        <v>7.9737406216505899</v>
      </c>
      <c r="K165" s="72">
        <v>113.533623804605</v>
      </c>
      <c r="L165" s="72">
        <v>-56.075433675412597</v>
      </c>
      <c r="M165" s="72">
        <v>137.069997866573</v>
      </c>
      <c r="N165" s="72">
        <v>5.3578795655825396E-4</v>
      </c>
      <c r="O165" s="72">
        <v>1.4017437458722299</v>
      </c>
      <c r="P165" s="72">
        <v>1.69233576642336</v>
      </c>
      <c r="Q165" s="77">
        <v>1.4245390501986199</v>
      </c>
    </row>
    <row r="166" spans="10:17" ht="14.25">
      <c r="J166" s="72">
        <v>8.0225080385852099</v>
      </c>
      <c r="K166" s="72">
        <v>113.325878023012</v>
      </c>
      <c r="L166" s="72">
        <v>-56.193673915107802</v>
      </c>
      <c r="M166" s="72">
        <v>137.18823810626799</v>
      </c>
      <c r="N166" s="72">
        <v>0</v>
      </c>
      <c r="O166" s="72">
        <v>1.3991788110069301</v>
      </c>
      <c r="P166" s="72">
        <v>1.6937956204379601</v>
      </c>
      <c r="Q166" s="77">
        <v>1.41328999098596</v>
      </c>
    </row>
    <row r="167" spans="10:17" ht="14.25">
      <c r="J167" s="72">
        <v>8.0803858520900302</v>
      </c>
      <c r="K167" s="72">
        <v>113.738741541209</v>
      </c>
      <c r="L167" s="72">
        <v>-55.898073315869901</v>
      </c>
      <c r="M167" s="72">
        <v>136.89263750703</v>
      </c>
      <c r="N167" s="72">
        <v>5.3578795655825396E-4</v>
      </c>
      <c r="O167" s="72">
        <v>1.40427623356016</v>
      </c>
      <c r="P167" s="72">
        <v>1.69014598540146</v>
      </c>
      <c r="Q167" s="77">
        <v>1.40827639591162</v>
      </c>
    </row>
    <row r="168" spans="10:17" ht="14.25">
      <c r="J168" s="72">
        <v>8.1232583065380499</v>
      </c>
      <c r="K168" s="72">
        <v>113.531098740944</v>
      </c>
      <c r="L168" s="72">
        <v>-55.336432177318102</v>
      </c>
      <c r="M168" s="72">
        <v>136.330996368478</v>
      </c>
      <c r="N168" s="72">
        <v>1.0715759131165101E-3</v>
      </c>
      <c r="O168" s="72">
        <v>1.40171257015461</v>
      </c>
      <c r="P168" s="72">
        <v>1.6832116788321201</v>
      </c>
      <c r="Q168" s="77">
        <v>1.3982877260209701</v>
      </c>
    </row>
    <row r="169" spans="10:17" ht="14.25">
      <c r="J169" s="72">
        <v>8.1714898177920698</v>
      </c>
      <c r="K169" s="72">
        <v>113.737208069476</v>
      </c>
      <c r="L169" s="72">
        <v>-55.454672417013199</v>
      </c>
      <c r="M169" s="72">
        <v>136.44923660817301</v>
      </c>
      <c r="N169" s="72">
        <v>1.0715759131165101E-3</v>
      </c>
      <c r="O169" s="72">
        <v>1.4042573005398</v>
      </c>
      <c r="P169" s="72">
        <v>1.6846715328467201</v>
      </c>
      <c r="Q169" s="77">
        <v>1.3925567518185999</v>
      </c>
    </row>
    <row r="170" spans="10:17" ht="14.25">
      <c r="J170" s="72">
        <v>8.22508038585209</v>
      </c>
      <c r="K170" s="72">
        <v>114.03190942792401</v>
      </c>
      <c r="L170" s="72">
        <v>-55.6024727166321</v>
      </c>
      <c r="M170" s="72">
        <v>136.59703690779199</v>
      </c>
      <c r="N170" s="72">
        <v>1.0715759131165101E-3</v>
      </c>
      <c r="O170" s="72">
        <v>1.40789583309308</v>
      </c>
      <c r="P170" s="72">
        <v>1.6864963503649599</v>
      </c>
      <c r="Q170" s="77">
        <v>1.38706649890647</v>
      </c>
    </row>
    <row r="171" spans="10:17" ht="14.25">
      <c r="J171" s="72">
        <v>8.2711682743837098</v>
      </c>
      <c r="K171" s="72">
        <v>113.942457560752</v>
      </c>
      <c r="L171" s="72">
        <v>-56.045873615488901</v>
      </c>
      <c r="M171" s="72">
        <v>137.04043780664901</v>
      </c>
      <c r="N171" s="72">
        <v>1.0715759131165101E-3</v>
      </c>
      <c r="O171" s="72">
        <v>1.4067914149378</v>
      </c>
      <c r="P171" s="72">
        <v>1.69197080291971</v>
      </c>
      <c r="Q171" s="77">
        <v>1.3782561168071901</v>
      </c>
    </row>
    <row r="172" spans="10:17" ht="14.25">
      <c r="J172" s="72">
        <v>8.3231511254019299</v>
      </c>
      <c r="K172" s="72">
        <v>114.089389310537</v>
      </c>
      <c r="L172" s="72">
        <v>-55.750273016251001</v>
      </c>
      <c r="M172" s="72">
        <v>136.744837207411</v>
      </c>
      <c r="N172" s="72">
        <v>0</v>
      </c>
      <c r="O172" s="72">
        <v>1.40860550889895</v>
      </c>
      <c r="P172" s="72">
        <v>1.68832116788321</v>
      </c>
      <c r="Q172" s="77">
        <v>1.37141345510991</v>
      </c>
    </row>
    <row r="173" spans="10:17" ht="14.25">
      <c r="J173" s="72">
        <v>8.3762057877813501</v>
      </c>
      <c r="K173" s="72">
        <v>114.058944805813</v>
      </c>
      <c r="L173" s="72">
        <v>-55.927633375793697</v>
      </c>
      <c r="M173" s="72">
        <v>136.922197566954</v>
      </c>
      <c r="N173" s="72">
        <v>1.0715759131165101E-3</v>
      </c>
      <c r="O173" s="72">
        <v>1.4082296255908799</v>
      </c>
      <c r="P173" s="72">
        <v>1.69051094890511</v>
      </c>
      <c r="Q173" s="77">
        <v>1.36236349499236</v>
      </c>
    </row>
    <row r="174" spans="10:17" ht="14.25">
      <c r="J174" s="72">
        <v>8.4201500535905698</v>
      </c>
      <c r="K174" s="72">
        <v>114.058213775317</v>
      </c>
      <c r="L174" s="72">
        <v>-55.306872117394299</v>
      </c>
      <c r="M174" s="72">
        <v>136.301436308554</v>
      </c>
      <c r="N174" s="72">
        <v>1.0715759131165101E-3</v>
      </c>
      <c r="O174" s="72">
        <v>1.4082205999173101</v>
      </c>
      <c r="P174" s="72">
        <v>1.6828467153284701</v>
      </c>
      <c r="Q174" s="77">
        <v>1.35524471845977</v>
      </c>
    </row>
    <row r="175" spans="10:17" ht="14.25">
      <c r="J175" s="72">
        <v>8.4732047159699899</v>
      </c>
      <c r="K175" s="72">
        <v>114.29381352830799</v>
      </c>
      <c r="L175" s="72">
        <v>-56.193673915107802</v>
      </c>
      <c r="M175" s="72">
        <v>137.18823810626799</v>
      </c>
      <c r="N175" s="72">
        <v>0</v>
      </c>
      <c r="O175" s="72">
        <v>1.4111294340513501</v>
      </c>
      <c r="P175" s="72">
        <v>1.6937956204379601</v>
      </c>
      <c r="Q175" s="77">
        <v>1.3495394301655801</v>
      </c>
    </row>
    <row r="176" spans="10:17" ht="14.25">
      <c r="J176" s="72">
        <v>8.5230439442658099</v>
      </c>
      <c r="K176" s="72">
        <v>114.174747792235</v>
      </c>
      <c r="L176" s="72">
        <v>-56.045873615488901</v>
      </c>
      <c r="M176" s="72">
        <v>137.04043780664901</v>
      </c>
      <c r="N176" s="72">
        <v>5.3578795655825396E-4</v>
      </c>
      <c r="O176" s="72">
        <v>1.4096593880394701</v>
      </c>
      <c r="P176" s="72">
        <v>1.69197080291971</v>
      </c>
      <c r="Q176" s="77">
        <v>1.34025089688109</v>
      </c>
    </row>
    <row r="177" spans="10:17" ht="14.25">
      <c r="J177" s="72">
        <v>8.5685959271168297</v>
      </c>
      <c r="K177" s="72">
        <v>114.38091529559</v>
      </c>
      <c r="L177" s="72">
        <v>-55.986753495641302</v>
      </c>
      <c r="M177" s="72">
        <v>136.98131768680099</v>
      </c>
      <c r="N177" s="72">
        <v>5.3578795655825396E-4</v>
      </c>
      <c r="O177" s="72">
        <v>1.41220483668055</v>
      </c>
      <c r="P177" s="72">
        <v>1.69124087591241</v>
      </c>
      <c r="Q177" s="77">
        <v>1.3355319982564799</v>
      </c>
    </row>
    <row r="178" spans="10:17" ht="14.25">
      <c r="J178" s="72">
        <v>8.6195069667738498</v>
      </c>
      <c r="K178" s="72">
        <v>114.291395395565</v>
      </c>
      <c r="L178" s="72">
        <v>-55.070391638004097</v>
      </c>
      <c r="M178" s="72">
        <v>136.06495582916401</v>
      </c>
      <c r="N178" s="72">
        <v>5.3578795655825396E-4</v>
      </c>
      <c r="O178" s="72">
        <v>1.4110995785571401</v>
      </c>
      <c r="P178" s="72">
        <v>1.67992700729927</v>
      </c>
      <c r="Q178" s="77">
        <v>1.32660511730778</v>
      </c>
    </row>
    <row r="179" spans="10:17" ht="14.25">
      <c r="J179" s="72">
        <v>8.6725616291532699</v>
      </c>
      <c r="K179" s="72">
        <v>114.408762551099</v>
      </c>
      <c r="L179" s="72">
        <v>-55.661592836479699</v>
      </c>
      <c r="M179" s="72">
        <v>136.65615702764001</v>
      </c>
      <c r="N179" s="72">
        <v>5.3578795655825396E-4</v>
      </c>
      <c r="O179" s="72">
        <v>1.4125486530315301</v>
      </c>
      <c r="P179" s="72">
        <v>1.6872262773722599</v>
      </c>
      <c r="Q179" s="77">
        <v>1.31984288562077</v>
      </c>
    </row>
    <row r="180" spans="10:17" ht="14.25">
      <c r="J180" s="72">
        <v>8.7170418006430896</v>
      </c>
      <c r="K180" s="72">
        <v>114.52627237847901</v>
      </c>
      <c r="L180" s="72">
        <v>-55.3955522971657</v>
      </c>
      <c r="M180" s="72">
        <v>136.39011648832599</v>
      </c>
      <c r="N180" s="72">
        <v>5.3578795655825396E-4</v>
      </c>
      <c r="O180" s="72">
        <v>1.4139994890049501</v>
      </c>
      <c r="P180" s="72">
        <v>1.6839416058394201</v>
      </c>
      <c r="Q180" s="77">
        <v>1.31445621245481</v>
      </c>
    </row>
    <row r="181" spans="10:17" ht="14.25">
      <c r="J181" s="72">
        <v>8.7706323687031098</v>
      </c>
      <c r="K181" s="72">
        <v>114.525394262373</v>
      </c>
      <c r="L181" s="72">
        <v>-55.129511757851603</v>
      </c>
      <c r="M181" s="72">
        <v>136.124075949012</v>
      </c>
      <c r="N181" s="72">
        <v>0</v>
      </c>
      <c r="O181" s="72">
        <v>1.4139886473378001</v>
      </c>
      <c r="P181" s="72">
        <v>1.68065693430657</v>
      </c>
      <c r="Q181" s="77">
        <v>1.3064145726093499</v>
      </c>
    </row>
    <row r="182" spans="10:17" ht="14.25">
      <c r="J182" s="72">
        <v>8.8215434083601298</v>
      </c>
      <c r="K182" s="72">
        <v>114.701922333691</v>
      </c>
      <c r="L182" s="72">
        <v>-55.454672417013199</v>
      </c>
      <c r="M182" s="72">
        <v>136.44923660817301</v>
      </c>
      <c r="N182" s="72">
        <v>1.0715759131165101E-3</v>
      </c>
      <c r="O182" s="72">
        <v>1.4161681525068299</v>
      </c>
      <c r="P182" s="72">
        <v>1.6846715328467201</v>
      </c>
      <c r="Q182" s="77">
        <v>1.3008760727436099</v>
      </c>
    </row>
    <row r="183" spans="10:17" ht="14.25">
      <c r="J183" s="72">
        <v>8.8729903536977499</v>
      </c>
      <c r="K183" s="72">
        <v>114.819323426699</v>
      </c>
      <c r="L183" s="72">
        <v>-55.513792536860798</v>
      </c>
      <c r="M183" s="72">
        <v>136.508356728021</v>
      </c>
      <c r="N183" s="72">
        <v>5.3578795655825396E-4</v>
      </c>
      <c r="O183" s="72">
        <v>1.4176176459905101</v>
      </c>
      <c r="P183" s="72">
        <v>1.6854014598540099</v>
      </c>
      <c r="Q183" s="77">
        <v>1.2946565245749799</v>
      </c>
    </row>
    <row r="184" spans="10:17" ht="14.25">
      <c r="J184" s="72">
        <v>8.9174705251875697</v>
      </c>
      <c r="K184" s="72">
        <v>115.114200055198</v>
      </c>
      <c r="L184" s="72">
        <v>-56.045873615488901</v>
      </c>
      <c r="M184" s="72">
        <v>137.04043780664901</v>
      </c>
      <c r="N184" s="72">
        <v>1.0715759131165101E-3</v>
      </c>
      <c r="O184" s="72">
        <v>1.42125834251679</v>
      </c>
      <c r="P184" s="72">
        <v>1.69197080291971</v>
      </c>
      <c r="Q184" s="77">
        <v>1.29150553222751</v>
      </c>
    </row>
    <row r="185" spans="10:17" ht="14.25">
      <c r="J185" s="72">
        <v>8.9715969989281898</v>
      </c>
      <c r="K185" s="72">
        <v>115.08376094703</v>
      </c>
      <c r="L185" s="72">
        <v>-56.016313555565098</v>
      </c>
      <c r="M185" s="72">
        <v>137.01087774672499</v>
      </c>
      <c r="N185" s="72">
        <v>5.3578795655825396E-4</v>
      </c>
      <c r="O185" s="72">
        <v>1.4208825258373401</v>
      </c>
      <c r="P185" s="72">
        <v>1.69160583941606</v>
      </c>
      <c r="Q185" s="77">
        <v>1.2833744769536799</v>
      </c>
    </row>
    <row r="186" spans="10:17" ht="14.25">
      <c r="J186" s="72">
        <v>9.0219721329046099</v>
      </c>
      <c r="K186" s="72">
        <v>115.142064844613</v>
      </c>
      <c r="L186" s="72">
        <v>-55.543352596784601</v>
      </c>
      <c r="M186" s="72">
        <v>136.53791678794499</v>
      </c>
      <c r="N186" s="72">
        <v>5.3578795655825396E-4</v>
      </c>
      <c r="O186" s="72">
        <v>1.42160237535027</v>
      </c>
      <c r="P186" s="72">
        <v>1.6857664233576599</v>
      </c>
      <c r="Q186" s="77">
        <v>1.2768548634375201</v>
      </c>
    </row>
    <row r="187" spans="10:17" ht="14.25">
      <c r="J187" s="72">
        <v>9.0675241157556297</v>
      </c>
      <c r="K187" s="72">
        <v>115.17088840985799</v>
      </c>
      <c r="L187" s="72">
        <v>-56.016313555565098</v>
      </c>
      <c r="M187" s="72">
        <v>137.01087774672499</v>
      </c>
      <c r="N187" s="72">
        <v>5.3578795655825396E-4</v>
      </c>
      <c r="O187" s="72">
        <v>1.4219582457167901</v>
      </c>
      <c r="P187" s="72">
        <v>1.69160583941606</v>
      </c>
      <c r="Q187" s="77">
        <v>1.2707582803336499</v>
      </c>
    </row>
    <row r="188" spans="10:17" ht="14.25">
      <c r="J188" s="72">
        <v>9.1184351554126497</v>
      </c>
      <c r="K188" s="72">
        <v>115.37698746243601</v>
      </c>
      <c r="L188" s="72">
        <v>-56.016313555565098</v>
      </c>
      <c r="M188" s="72">
        <v>137.01087774672499</v>
      </c>
      <c r="N188" s="72">
        <v>1.0715759131165101E-3</v>
      </c>
      <c r="O188" s="72">
        <v>1.4245028492298399</v>
      </c>
      <c r="P188" s="72">
        <v>1.69160583941606</v>
      </c>
      <c r="Q188" s="77">
        <v>1.2659234902413401</v>
      </c>
    </row>
    <row r="189" spans="10:17" ht="14.25">
      <c r="J189" s="72">
        <v>9.1677384780278697</v>
      </c>
      <c r="K189" s="72">
        <v>115.464873998236</v>
      </c>
      <c r="L189" s="72">
        <v>-55.838953196022402</v>
      </c>
      <c r="M189" s="72">
        <v>136.83351738718201</v>
      </c>
      <c r="N189" s="72">
        <v>-5.3578795655825396E-4</v>
      </c>
      <c r="O189" s="72">
        <v>1.42558794100949</v>
      </c>
      <c r="P189" s="72">
        <v>1.68941605839416</v>
      </c>
      <c r="Q189" s="77">
        <v>1.2600741108339699</v>
      </c>
    </row>
    <row r="190" spans="10:17" ht="14.25">
      <c r="J190" s="72">
        <v>9.2181136120042897</v>
      </c>
      <c r="K190" s="72">
        <v>115.079784136193</v>
      </c>
      <c r="L190" s="72">
        <v>-55.365992237241898</v>
      </c>
      <c r="M190" s="72">
        <v>136.36055642840199</v>
      </c>
      <c r="N190" s="72">
        <v>5.3578795655825396E-4</v>
      </c>
      <c r="O190" s="72">
        <v>1.42083342611223</v>
      </c>
      <c r="P190" s="72">
        <v>1.6835766423357701</v>
      </c>
      <c r="Q190" s="77">
        <v>1.24901052530547</v>
      </c>
    </row>
    <row r="191" spans="10:17" ht="14.25">
      <c r="J191" s="72">
        <v>9.2658092175777096</v>
      </c>
      <c r="K191" s="72">
        <v>115.551980738141</v>
      </c>
      <c r="L191" s="72">
        <v>-55.868513255946098</v>
      </c>
      <c r="M191" s="72">
        <v>136.86307744710601</v>
      </c>
      <c r="N191" s="72">
        <v>1.0715759131165101E-3</v>
      </c>
      <c r="O191" s="72">
        <v>1.4266634050332101</v>
      </c>
      <c r="P191" s="72">
        <v>1.68978102189781</v>
      </c>
      <c r="Q191" s="77">
        <v>1.2476773818220399</v>
      </c>
    </row>
    <row r="192" spans="10:17" ht="14.25">
      <c r="J192" s="72">
        <v>9.3183279742765297</v>
      </c>
      <c r="K192" s="72">
        <v>115.49202086838</v>
      </c>
      <c r="L192" s="72">
        <v>-55.720712956327198</v>
      </c>
      <c r="M192" s="72">
        <v>136.715277147487</v>
      </c>
      <c r="N192" s="72">
        <v>1.60736386967476E-3</v>
      </c>
      <c r="O192" s="72">
        <v>1.42592311004724</v>
      </c>
      <c r="P192" s="72">
        <v>1.68795620437956</v>
      </c>
      <c r="Q192" s="77">
        <v>1.2400019220155001</v>
      </c>
    </row>
    <row r="193" spans="10:17" ht="14.25">
      <c r="J193" s="72">
        <v>9.3713826366559498</v>
      </c>
      <c r="K193" s="72">
        <v>115.668534932681</v>
      </c>
      <c r="L193" s="72">
        <v>-55.129511757851603</v>
      </c>
      <c r="M193" s="72">
        <v>136.124075949012</v>
      </c>
      <c r="N193" s="72">
        <v>5.3578795655825396E-4</v>
      </c>
      <c r="O193" s="72">
        <v>1.42810244227854</v>
      </c>
      <c r="P193" s="72">
        <v>1.68065693430657</v>
      </c>
      <c r="Q193" s="77">
        <v>1.23486538253584</v>
      </c>
    </row>
    <row r="194" spans="10:17" ht="14.25">
      <c r="J194" s="72">
        <v>9.4190782422293697</v>
      </c>
      <c r="K194" s="72">
        <v>115.460855438384</v>
      </c>
      <c r="L194" s="72">
        <v>-55.779833076174803</v>
      </c>
      <c r="M194" s="72">
        <v>136.77439726733499</v>
      </c>
      <c r="N194" s="72">
        <v>5.3578795655825396E-4</v>
      </c>
      <c r="O194" s="72">
        <v>1.42553832582984</v>
      </c>
      <c r="P194" s="72">
        <v>1.68868613138686</v>
      </c>
      <c r="Q194" s="77">
        <v>1.22640748468185</v>
      </c>
    </row>
    <row r="195" spans="10:17" ht="14.25">
      <c r="J195" s="72">
        <v>9.4705251875669898</v>
      </c>
      <c r="K195" s="72">
        <v>115.84431928275001</v>
      </c>
      <c r="L195" s="72">
        <v>-55.927633375793697</v>
      </c>
      <c r="M195" s="72">
        <v>136.922197566954</v>
      </c>
      <c r="N195" s="72">
        <v>0</v>
      </c>
      <c r="O195" s="72">
        <v>1.43027276508753</v>
      </c>
      <c r="P195" s="72">
        <v>1.69051094890511</v>
      </c>
      <c r="Q195" s="77">
        <v>1.22379426800175</v>
      </c>
    </row>
    <row r="196" spans="10:17" ht="14.25">
      <c r="J196" s="72">
        <v>9.5209003215434098</v>
      </c>
      <c r="K196" s="72">
        <v>115.695720921039</v>
      </c>
      <c r="L196" s="72">
        <v>-55.661592836479699</v>
      </c>
      <c r="M196" s="72">
        <v>136.65615702764001</v>
      </c>
      <c r="N196" s="72">
        <v>1.0715759131165101E-3</v>
      </c>
      <c r="O196" s="72">
        <v>1.42843809428962</v>
      </c>
      <c r="P196" s="72">
        <v>1.6872262773722599</v>
      </c>
      <c r="Q196" s="77">
        <v>1.2157584064973399</v>
      </c>
    </row>
    <row r="197" spans="10:17" ht="14.25">
      <c r="J197" s="72">
        <v>9.5685959271168297</v>
      </c>
      <c r="K197" s="72">
        <v>116.07924777793799</v>
      </c>
      <c r="L197" s="72">
        <v>-56.164113855183999</v>
      </c>
      <c r="M197" s="72">
        <v>137.15867804634399</v>
      </c>
      <c r="N197" s="72">
        <v>0</v>
      </c>
      <c r="O197" s="72">
        <v>1.43317331153203</v>
      </c>
      <c r="P197" s="72">
        <v>1.6934306569343101</v>
      </c>
      <c r="Q197" s="77">
        <v>1.21370652261714</v>
      </c>
    </row>
    <row r="198" spans="10:17" ht="14.25">
      <c r="J198" s="72">
        <v>9.6157556270096496</v>
      </c>
      <c r="K198" s="72">
        <v>116.196744182659</v>
      </c>
      <c r="L198" s="72">
        <v>-56.164113855183999</v>
      </c>
      <c r="M198" s="72">
        <v>137.15867804634399</v>
      </c>
      <c r="N198" s="72">
        <v>5.3578795655825396E-4</v>
      </c>
      <c r="O198" s="72">
        <v>1.43462398178248</v>
      </c>
      <c r="P198" s="72">
        <v>1.6934306569343101</v>
      </c>
      <c r="Q198" s="77">
        <v>1.2089759120799199</v>
      </c>
    </row>
    <row r="199" spans="10:17" ht="14.25">
      <c r="J199" s="72">
        <v>9.6655948553054696</v>
      </c>
      <c r="K199" s="72">
        <v>116.048159531236</v>
      </c>
      <c r="L199" s="72">
        <v>-56.016313555565098</v>
      </c>
      <c r="M199" s="72">
        <v>137.01087774672499</v>
      </c>
      <c r="N199" s="72">
        <v>5.3578795655825396E-4</v>
      </c>
      <c r="O199" s="72">
        <v>1.43278948025874</v>
      </c>
      <c r="P199" s="72">
        <v>1.69160583941606</v>
      </c>
      <c r="Q199" s="77">
        <v>1.20120475130264</v>
      </c>
    </row>
    <row r="200" spans="10:17" ht="14.25">
      <c r="J200" s="72">
        <v>9.7170418006430896</v>
      </c>
      <c r="K200" s="72">
        <v>115.781311220992</v>
      </c>
      <c r="L200" s="72">
        <v>-54.7452309788425</v>
      </c>
      <c r="M200" s="72">
        <v>135.73979517000299</v>
      </c>
      <c r="N200" s="72">
        <v>1.0715759131165101E-3</v>
      </c>
      <c r="O200" s="72">
        <v>1.429494835576</v>
      </c>
      <c r="P200" s="72">
        <v>1.67591240875912</v>
      </c>
      <c r="Q200" s="77">
        <v>1.1920987756343999</v>
      </c>
    </row>
    <row r="201" spans="10:17" ht="14.25">
      <c r="J201" s="72">
        <v>9.7642015005359095</v>
      </c>
      <c r="K201" s="72">
        <v>115.92837274394</v>
      </c>
      <c r="L201" s="72">
        <v>-55.159071817775398</v>
      </c>
      <c r="M201" s="72">
        <v>136.153636008935</v>
      </c>
      <c r="N201" s="72">
        <v>0</v>
      </c>
      <c r="O201" s="72">
        <v>1.4313105317824799</v>
      </c>
      <c r="P201" s="72">
        <v>1.68102189781022</v>
      </c>
      <c r="Q201" s="77">
        <v>1.18784723819896</v>
      </c>
    </row>
    <row r="202" spans="10:17" ht="14.25">
      <c r="J202" s="72">
        <v>9.8231511254019299</v>
      </c>
      <c r="K202" s="72">
        <v>116.075251832521</v>
      </c>
      <c r="L202" s="72">
        <v>-55.513792536860798</v>
      </c>
      <c r="M202" s="72">
        <v>136.508356728021</v>
      </c>
      <c r="N202" s="72">
        <v>5.3578795655825396E-4</v>
      </c>
      <c r="O202" s="72">
        <v>1.43312397556168</v>
      </c>
      <c r="P202" s="72">
        <v>1.6854014598540099</v>
      </c>
      <c r="Q202" s="77">
        <v>1.1822140926303499</v>
      </c>
    </row>
    <row r="203" spans="10:17" ht="14.25">
      <c r="J203" s="72">
        <v>9.8670953912111496</v>
      </c>
      <c r="K203" s="72">
        <v>116.13368686494501</v>
      </c>
      <c r="L203" s="72">
        <v>-54.922591338385203</v>
      </c>
      <c r="M203" s="72">
        <v>135.917155529545</v>
      </c>
      <c r="N203" s="72">
        <v>1.0715759131165101E-3</v>
      </c>
      <c r="O203" s="72">
        <v>1.43384544413191</v>
      </c>
      <c r="P203" s="72">
        <v>1.67810218978102</v>
      </c>
      <c r="Q203" s="77">
        <v>1.17754118482319</v>
      </c>
    </row>
    <row r="204" spans="10:17" ht="14.25">
      <c r="J204" s="72">
        <v>9.9153269024651696</v>
      </c>
      <c r="K204" s="72">
        <v>116.48765726494899</v>
      </c>
      <c r="L204" s="72">
        <v>-55.572912656708397</v>
      </c>
      <c r="M204" s="72">
        <v>136.56747684786799</v>
      </c>
      <c r="N204" s="72">
        <v>-5.3578795655825396E-4</v>
      </c>
      <c r="O204" s="72">
        <v>1.43821574235549</v>
      </c>
      <c r="P204" s="72">
        <v>1.6861313868613099</v>
      </c>
      <c r="Q204" s="77">
        <v>1.17538315704276</v>
      </c>
    </row>
    <row r="205" spans="10:17" ht="14.25">
      <c r="J205" s="72">
        <v>9.9705251875669898</v>
      </c>
      <c r="K205" s="72">
        <v>116.69372104847299</v>
      </c>
      <c r="L205" s="72">
        <v>-56.045873615488901</v>
      </c>
      <c r="M205" s="72">
        <v>137.04043780664901</v>
      </c>
      <c r="N205" s="72">
        <v>0</v>
      </c>
      <c r="O205" s="72">
        <v>1.44075991041889</v>
      </c>
      <c r="P205" s="72">
        <v>1.69197080291971</v>
      </c>
      <c r="Q205" s="77">
        <v>1.1709427935292001</v>
      </c>
    </row>
    <row r="206" spans="10:17" ht="14.25">
      <c r="J206" s="72">
        <v>10.016613076098601</v>
      </c>
      <c r="K206" s="72">
        <v>116.722567545416</v>
      </c>
      <c r="L206" s="72">
        <v>-55.838953196022402</v>
      </c>
      <c r="M206" s="72">
        <v>136.83351738718201</v>
      </c>
      <c r="N206" s="72">
        <v>5.3578795655825396E-4</v>
      </c>
      <c r="O206" s="72">
        <v>1.4411160639117899</v>
      </c>
      <c r="P206" s="72">
        <v>1.68941605839416</v>
      </c>
      <c r="Q206" s="77">
        <v>1.1658431025595399</v>
      </c>
    </row>
    <row r="207" spans="10:17" ht="14.25">
      <c r="J207" s="72">
        <v>10.066452304394399</v>
      </c>
      <c r="K207" s="72">
        <v>116.426197029712</v>
      </c>
      <c r="L207" s="72">
        <v>-55.484232476937002</v>
      </c>
      <c r="M207" s="72">
        <v>136.478796668097</v>
      </c>
      <c r="N207" s="72">
        <v>5.3578795655825396E-4</v>
      </c>
      <c r="O207" s="72">
        <v>1.4374569230958201</v>
      </c>
      <c r="P207" s="72">
        <v>1.6850364963503599</v>
      </c>
      <c r="Q207" s="77">
        <v>1.15712684687554</v>
      </c>
    </row>
    <row r="208" spans="10:17" ht="14.25">
      <c r="J208" s="72">
        <v>10.1157556270096</v>
      </c>
      <c r="K208" s="72">
        <v>116.66191763723199</v>
      </c>
      <c r="L208" s="72">
        <v>-55.632032776555903</v>
      </c>
      <c r="M208" s="72">
        <v>136.62659696771601</v>
      </c>
      <c r="N208" s="72">
        <v>5.3578795655825396E-4</v>
      </c>
      <c r="O208" s="72">
        <v>1.4403672493612301</v>
      </c>
      <c r="P208" s="72">
        <v>1.6868613138686099</v>
      </c>
      <c r="Q208" s="77">
        <v>1.1538173425022999</v>
      </c>
    </row>
    <row r="209" spans="10:17" ht="14.25">
      <c r="J209" s="72">
        <v>10.1677384780279</v>
      </c>
      <c r="K209" s="72">
        <v>116.57243819036201</v>
      </c>
      <c r="L209" s="72">
        <v>-55.425112357089503</v>
      </c>
      <c r="M209" s="72">
        <v>136.41967654824899</v>
      </c>
      <c r="N209" s="72">
        <v>5.3578795655825396E-4</v>
      </c>
      <c r="O209" s="72">
        <v>1.4392624906929901</v>
      </c>
      <c r="P209" s="72">
        <v>1.6843065693430701</v>
      </c>
      <c r="Q209" s="77">
        <v>1.1470383857211499</v>
      </c>
    </row>
    <row r="210" spans="10:17" ht="14.25">
      <c r="J210" s="72">
        <v>10.2175777063237</v>
      </c>
      <c r="K210" s="72">
        <v>116.985514555029</v>
      </c>
      <c r="L210" s="72">
        <v>-55.927633375793697</v>
      </c>
      <c r="M210" s="72">
        <v>136.922197566954</v>
      </c>
      <c r="N210" s="72">
        <v>0</v>
      </c>
      <c r="O210" s="72">
        <v>1.44436254115677</v>
      </c>
      <c r="P210" s="72">
        <v>1.69051094890511</v>
      </c>
      <c r="Q210" s="77">
        <v>1.1454861712962501</v>
      </c>
    </row>
    <row r="211" spans="10:17" ht="14.25">
      <c r="J211" s="72">
        <v>10.267952840300101</v>
      </c>
      <c r="K211" s="72">
        <v>116.896063504658</v>
      </c>
      <c r="L211" s="72">
        <v>-55.809393136098599</v>
      </c>
      <c r="M211" s="72">
        <v>136.80395732725901</v>
      </c>
      <c r="N211" s="72">
        <v>5.3578795655825396E-4</v>
      </c>
      <c r="O211" s="72">
        <v>1.44325813308613</v>
      </c>
      <c r="P211" s="72">
        <v>1.68905109489051</v>
      </c>
      <c r="Q211" s="77">
        <v>1.13899518663544</v>
      </c>
    </row>
    <row r="212" spans="10:17" ht="14.25">
      <c r="J212" s="72">
        <v>10.315648445873499</v>
      </c>
      <c r="K212" s="72">
        <v>117.102255747152</v>
      </c>
      <c r="L212" s="72">
        <v>-55.2477519975468</v>
      </c>
      <c r="M212" s="72">
        <v>136.24231618870701</v>
      </c>
      <c r="N212" s="72">
        <v>1.60736386967476E-3</v>
      </c>
      <c r="O212" s="72">
        <v>1.4458038871691601</v>
      </c>
      <c r="P212" s="72">
        <v>1.6821167883211701</v>
      </c>
      <c r="Q212" s="77">
        <v>1.1357277390193901</v>
      </c>
    </row>
    <row r="213" spans="10:17" ht="14.25">
      <c r="J213" s="72">
        <v>10.3676312968917</v>
      </c>
      <c r="K213" s="72">
        <v>117.219704227726</v>
      </c>
      <c r="L213" s="72">
        <v>-55.986753495641302</v>
      </c>
      <c r="M213" s="72">
        <v>136.98131768680099</v>
      </c>
      <c r="N213" s="72">
        <v>0</v>
      </c>
      <c r="O213" s="72">
        <v>1.44725396572378</v>
      </c>
      <c r="P213" s="72">
        <v>1.69124087591241</v>
      </c>
      <c r="Q213" s="77">
        <v>1.13116608781451</v>
      </c>
    </row>
    <row r="214" spans="10:17" ht="14.25">
      <c r="J214" s="72">
        <v>10.4137191854234</v>
      </c>
      <c r="K214" s="72">
        <v>117.573724607716</v>
      </c>
      <c r="L214" s="72">
        <v>-56.282354094879103</v>
      </c>
      <c r="M214" s="72">
        <v>137.27691828603901</v>
      </c>
      <c r="N214" s="72">
        <v>1.0715759131165101E-3</v>
      </c>
      <c r="O214" s="72">
        <v>1.45162488102563</v>
      </c>
      <c r="P214" s="72">
        <v>1.6948905109489101</v>
      </c>
      <c r="Q214" s="77">
        <v>1.1295594554222701</v>
      </c>
    </row>
    <row r="215" spans="10:17" ht="14.25">
      <c r="J215" s="72">
        <v>10.4662379421222</v>
      </c>
      <c r="K215" s="72">
        <v>117.395568058268</v>
      </c>
      <c r="L215" s="72">
        <v>-55.632032776555903</v>
      </c>
      <c r="M215" s="72">
        <v>136.62659696771601</v>
      </c>
      <c r="N215" s="72">
        <v>0</v>
      </c>
      <c r="O215" s="72">
        <v>1.44942526983905</v>
      </c>
      <c r="P215" s="72">
        <v>1.6868613138686099</v>
      </c>
      <c r="Q215" s="77">
        <v>1.1221892127823201</v>
      </c>
    </row>
    <row r="216" spans="10:17" ht="14.25">
      <c r="J216" s="72">
        <v>10.519292604501601</v>
      </c>
      <c r="K216" s="72">
        <v>117.128725228213</v>
      </c>
      <c r="L216" s="72">
        <v>-54.7452309788425</v>
      </c>
      <c r="M216" s="72">
        <v>135.73979517000299</v>
      </c>
      <c r="N216" s="72">
        <v>1.0715759131165101E-3</v>
      </c>
      <c r="O216" s="72">
        <v>1.44613069281749</v>
      </c>
      <c r="P216" s="72">
        <v>1.67591240875912</v>
      </c>
      <c r="Q216" s="77">
        <v>1.11399268702177</v>
      </c>
    </row>
    <row r="217" spans="10:17" ht="14.25">
      <c r="J217" s="72">
        <v>10.566452304394399</v>
      </c>
      <c r="K217" s="72">
        <v>117.482734507377</v>
      </c>
      <c r="L217" s="72">
        <v>-55.691152896403501</v>
      </c>
      <c r="M217" s="72">
        <v>136.68571708756301</v>
      </c>
      <c r="N217" s="72">
        <v>5.3578795655825396E-4</v>
      </c>
      <c r="O217" s="72">
        <v>1.45050147106292</v>
      </c>
      <c r="P217" s="72">
        <v>1.6875912408759099</v>
      </c>
      <c r="Q217" s="77">
        <v>1.11237108003461</v>
      </c>
    </row>
    <row r="218" spans="10:17" ht="14.25">
      <c r="J218" s="72">
        <v>10.6141479099678</v>
      </c>
      <c r="K218" s="72">
        <v>117.570696797149</v>
      </c>
      <c r="L218" s="72">
        <v>-55.513792536860798</v>
      </c>
      <c r="M218" s="72">
        <v>136.508356728021</v>
      </c>
      <c r="N218" s="72">
        <v>5.3578795655825396E-4</v>
      </c>
      <c r="O218" s="72">
        <v>1.45158749813955</v>
      </c>
      <c r="P218" s="72">
        <v>1.6854014598540099</v>
      </c>
      <c r="Q218" s="77">
        <v>1.10820126973209</v>
      </c>
    </row>
    <row r="219" spans="10:17" ht="14.25">
      <c r="J219" s="72">
        <v>10.6639871382637</v>
      </c>
      <c r="K219" s="72">
        <v>117.510828278753</v>
      </c>
      <c r="L219" s="72">
        <v>-55.6024727166321</v>
      </c>
      <c r="M219" s="72">
        <v>136.59703690779199</v>
      </c>
      <c r="N219" s="72">
        <v>5.3578795655825396E-4</v>
      </c>
      <c r="O219" s="72">
        <v>1.45084833102391</v>
      </c>
      <c r="P219" s="72">
        <v>1.6864963503649599</v>
      </c>
      <c r="Q219" s="77">
        <v>1.10246057001765</v>
      </c>
    </row>
    <row r="220" spans="10:17" ht="14.25">
      <c r="J220" s="72">
        <v>10.7170418006431</v>
      </c>
      <c r="K220" s="72">
        <v>117.62827380831401</v>
      </c>
      <c r="L220" s="72">
        <v>-55.365992237241898</v>
      </c>
      <c r="M220" s="72">
        <v>136.36055642840199</v>
      </c>
      <c r="N220" s="72">
        <v>5.3578795655825396E-4</v>
      </c>
      <c r="O220" s="72">
        <v>1.4522983731438099</v>
      </c>
      <c r="P220" s="72">
        <v>1.6835766423357701</v>
      </c>
      <c r="Q220" s="77">
        <v>1.0980987208019399</v>
      </c>
    </row>
    <row r="221" spans="10:17" ht="14.25">
      <c r="J221" s="72">
        <v>10.764201500535901</v>
      </c>
      <c r="K221" s="72">
        <v>117.74580934640601</v>
      </c>
      <c r="L221" s="72">
        <v>-55.3955522971657</v>
      </c>
      <c r="M221" s="72">
        <v>136.39011648832599</v>
      </c>
      <c r="N221" s="72">
        <v>0</v>
      </c>
      <c r="O221" s="72">
        <v>1.45374952655473</v>
      </c>
      <c r="P221" s="72">
        <v>1.6839416058394201</v>
      </c>
      <c r="Q221" s="77">
        <v>1.09437968485538</v>
      </c>
    </row>
    <row r="222" spans="10:17" ht="14.25">
      <c r="J222" s="72">
        <v>10.812968917470499</v>
      </c>
      <c r="K222" s="72">
        <v>118.011122850277</v>
      </c>
      <c r="L222" s="72">
        <v>-55.661592836479699</v>
      </c>
      <c r="M222" s="72">
        <v>136.65615702764001</v>
      </c>
      <c r="N222" s="72">
        <v>1.0715759131165101E-3</v>
      </c>
      <c r="O222" s="72">
        <v>1.4570252217389701</v>
      </c>
      <c r="P222" s="72">
        <v>1.6872262773722599</v>
      </c>
      <c r="Q222" s="77">
        <v>1.0918975987424999</v>
      </c>
    </row>
    <row r="223" spans="10:17" ht="14.25">
      <c r="J223" s="72">
        <v>10.8601286173633</v>
      </c>
      <c r="K223" s="72">
        <v>118.03998147732</v>
      </c>
      <c r="L223" s="72">
        <v>-56.193673915107802</v>
      </c>
      <c r="M223" s="72">
        <v>137.18823810626799</v>
      </c>
      <c r="N223" s="72">
        <v>1.60736386967476E-3</v>
      </c>
      <c r="O223" s="72">
        <v>1.4573815249962601</v>
      </c>
      <c r="P223" s="72">
        <v>1.6937956204379601</v>
      </c>
      <c r="Q223" s="77">
        <v>1.0874218045711199</v>
      </c>
    </row>
    <row r="224" spans="10:17" ht="14.25">
      <c r="J224" s="72">
        <v>10.9158628081458</v>
      </c>
      <c r="K224" s="72">
        <v>118.423435361994</v>
      </c>
      <c r="L224" s="72">
        <v>-56.075433675412597</v>
      </c>
      <c r="M224" s="72">
        <v>137.069997866573</v>
      </c>
      <c r="N224" s="72">
        <v>0</v>
      </c>
      <c r="O224" s="72">
        <v>1.46211584128654</v>
      </c>
      <c r="P224" s="72">
        <v>1.69233576642336</v>
      </c>
      <c r="Q224" s="77">
        <v>1.08538246180539</v>
      </c>
    </row>
    <row r="225" spans="10:17" ht="14.25">
      <c r="J225" s="72">
        <v>10.9640943193998</v>
      </c>
      <c r="K225" s="72">
        <v>118.245361232392</v>
      </c>
      <c r="L225" s="72">
        <v>-55.632032776555903</v>
      </c>
      <c r="M225" s="72">
        <v>136.62659696771601</v>
      </c>
      <c r="N225" s="72">
        <v>5.3578795655825396E-4</v>
      </c>
      <c r="O225" s="72">
        <v>1.45991724769719</v>
      </c>
      <c r="P225" s="72">
        <v>1.6868613138686099</v>
      </c>
      <c r="Q225" s="77">
        <v>1.0789836615636199</v>
      </c>
    </row>
    <row r="226" spans="10:17" ht="14.25">
      <c r="J226" s="72">
        <v>11.020900321543399</v>
      </c>
      <c r="K226" s="72">
        <v>118.067162365965</v>
      </c>
      <c r="L226" s="72">
        <v>-55.425112357089503</v>
      </c>
      <c r="M226" s="72">
        <v>136.41967654824899</v>
      </c>
      <c r="N226" s="72">
        <v>0</v>
      </c>
      <c r="O226" s="72">
        <v>1.4577171140437</v>
      </c>
      <c r="P226" s="72">
        <v>1.6843065693430701</v>
      </c>
      <c r="Q226" s="77">
        <v>1.07180524305641</v>
      </c>
    </row>
    <row r="227" spans="10:17" ht="14.25">
      <c r="J227" s="72">
        <v>11.065380493033199</v>
      </c>
      <c r="K227" s="72">
        <v>118.421228145957</v>
      </c>
      <c r="L227" s="72">
        <v>-55.661592836479699</v>
      </c>
      <c r="M227" s="72">
        <v>136.65615702764001</v>
      </c>
      <c r="N227" s="72">
        <v>1.0715759131165101E-3</v>
      </c>
      <c r="O227" s="72">
        <v>1.46208858987702</v>
      </c>
      <c r="P227" s="72">
        <v>1.6872262773722599</v>
      </c>
      <c r="Q227" s="77">
        <v>1.0706966049012701</v>
      </c>
    </row>
    <row r="228" spans="10:17" ht="14.25">
      <c r="J228" s="72">
        <v>11.1168274383708</v>
      </c>
      <c r="K228" s="72">
        <v>118.656952888372</v>
      </c>
      <c r="L228" s="72">
        <v>-56.016313555565098</v>
      </c>
      <c r="M228" s="72">
        <v>137.01087774672499</v>
      </c>
      <c r="N228" s="72">
        <v>5.3578795655825396E-4</v>
      </c>
      <c r="O228" s="72">
        <v>1.4649989671939301</v>
      </c>
      <c r="P228" s="72">
        <v>1.69160583941606</v>
      </c>
      <c r="Q228" s="77">
        <v>1.0678620196170501</v>
      </c>
    </row>
    <row r="229" spans="10:17" ht="14.25">
      <c r="J229" s="72">
        <v>11.1613076098607</v>
      </c>
      <c r="K229" s="72">
        <v>118.89278151166801</v>
      </c>
      <c r="L229" s="72">
        <v>-55.720712956327198</v>
      </c>
      <c r="M229" s="72">
        <v>136.715277147487</v>
      </c>
      <c r="N229" s="72">
        <v>0</v>
      </c>
      <c r="O229" s="72">
        <v>1.46791062707693</v>
      </c>
      <c r="P229" s="72">
        <v>1.68795620437956</v>
      </c>
      <c r="Q229" s="77">
        <v>1.0657192757499001</v>
      </c>
    </row>
    <row r="230" spans="10:17" ht="14.25">
      <c r="J230" s="72">
        <v>11.2132904608789</v>
      </c>
      <c r="K230" s="72">
        <v>118.448620616664</v>
      </c>
      <c r="L230" s="72">
        <v>-55.129511757851603</v>
      </c>
      <c r="M230" s="72">
        <v>136.124075949012</v>
      </c>
      <c r="N230" s="72">
        <v>5.3578795655825396E-4</v>
      </c>
      <c r="O230" s="72">
        <v>1.4624267912240001</v>
      </c>
      <c r="P230" s="72">
        <v>1.68065693430657</v>
      </c>
      <c r="Q230" s="77">
        <v>1.05681776586864</v>
      </c>
    </row>
    <row r="231" spans="10:17" ht="14.25">
      <c r="J231" s="72">
        <v>11.262057877813501</v>
      </c>
      <c r="K231" s="72">
        <v>118.53658958541401</v>
      </c>
      <c r="L231" s="72">
        <v>-55.188631877699201</v>
      </c>
      <c r="M231" s="72">
        <v>136.18319606885899</v>
      </c>
      <c r="N231" s="72">
        <v>1.0715759131165101E-3</v>
      </c>
      <c r="O231" s="72">
        <v>1.4635129007626799</v>
      </c>
      <c r="P231" s="72">
        <v>1.6813868613138701</v>
      </c>
      <c r="Q231" s="77">
        <v>1.0530226001715</v>
      </c>
    </row>
    <row r="232" spans="10:17" ht="14.25">
      <c r="J232" s="72">
        <v>11.312433011789899</v>
      </c>
      <c r="K232" s="72">
        <v>118.890577451274</v>
      </c>
      <c r="L232" s="72">
        <v>-55.6024727166321</v>
      </c>
      <c r="M232" s="72">
        <v>136.59703690779199</v>
      </c>
      <c r="N232" s="72">
        <v>5.3578795655825396E-4</v>
      </c>
      <c r="O232" s="72">
        <v>1.46788341462858</v>
      </c>
      <c r="P232" s="72">
        <v>1.6864963503649599</v>
      </c>
      <c r="Q232" s="77">
        <v>1.0514626026042699</v>
      </c>
    </row>
    <row r="233" spans="10:17" ht="14.25">
      <c r="J233" s="72">
        <v>11.3654876741693</v>
      </c>
      <c r="K233" s="72">
        <v>119.067167958499</v>
      </c>
      <c r="L233" s="72">
        <v>-56.075433675412597</v>
      </c>
      <c r="M233" s="72">
        <v>137.069997866573</v>
      </c>
      <c r="N233" s="72">
        <v>0</v>
      </c>
      <c r="O233" s="72">
        <v>1.47006369066301</v>
      </c>
      <c r="P233" s="72">
        <v>1.69233576642336</v>
      </c>
      <c r="Q233" s="77">
        <v>1.0481080661552999</v>
      </c>
    </row>
    <row r="234" spans="10:17" ht="14.25">
      <c r="J234" s="72">
        <v>11.4110396570204</v>
      </c>
      <c r="K234" s="72">
        <v>119.066508596926</v>
      </c>
      <c r="L234" s="72">
        <v>-55.838953196022402</v>
      </c>
      <c r="M234" s="72">
        <v>136.83351738718201</v>
      </c>
      <c r="N234" s="72">
        <v>0</v>
      </c>
      <c r="O234" s="72">
        <v>1.47005554985036</v>
      </c>
      <c r="P234" s="72">
        <v>1.68941605839416</v>
      </c>
      <c r="Q234" s="77">
        <v>1.0439183219909001</v>
      </c>
    </row>
    <row r="235" spans="10:17" ht="14.25">
      <c r="J235" s="72">
        <v>11.4619506966774</v>
      </c>
      <c r="K235" s="72">
        <v>119.361374036866</v>
      </c>
      <c r="L235" s="72">
        <v>-56.430154394497997</v>
      </c>
      <c r="M235" s="72">
        <v>137.42471858565801</v>
      </c>
      <c r="N235" s="72">
        <v>0</v>
      </c>
      <c r="O235" s="72">
        <v>1.4736961082370199</v>
      </c>
      <c r="P235" s="72">
        <v>1.6967153284671499</v>
      </c>
      <c r="Q235" s="77">
        <v>1.0418540640193099</v>
      </c>
    </row>
    <row r="236" spans="10:17" ht="14.25">
      <c r="J236" s="72">
        <v>11.514469453376201</v>
      </c>
      <c r="K236" s="72">
        <v>119.271937444678</v>
      </c>
      <c r="L236" s="72">
        <v>-56.193673915107802</v>
      </c>
      <c r="M236" s="72">
        <v>137.18823810626799</v>
      </c>
      <c r="N236" s="72">
        <v>0</v>
      </c>
      <c r="O236" s="72">
        <v>1.4725918786744401</v>
      </c>
      <c r="P236" s="72">
        <v>1.6937956204379601</v>
      </c>
      <c r="Q236" s="77">
        <v>1.0363253212856101</v>
      </c>
    </row>
    <row r="237" spans="10:17" ht="14.25">
      <c r="J237" s="72">
        <v>11.558949624866001</v>
      </c>
      <c r="K237" s="72">
        <v>119.507778847785</v>
      </c>
      <c r="L237" s="72">
        <v>-56.577954694116897</v>
      </c>
      <c r="M237" s="72">
        <v>137.57251888527699</v>
      </c>
      <c r="N237" s="72">
        <v>0</v>
      </c>
      <c r="O237" s="72">
        <v>1.47550369634347</v>
      </c>
      <c r="P237" s="72">
        <v>1.6985401459853999</v>
      </c>
      <c r="Q237" s="77">
        <v>1.0343777578451701</v>
      </c>
    </row>
    <row r="238" spans="10:17" ht="14.25">
      <c r="J238" s="72">
        <v>11.612540192926</v>
      </c>
      <c r="K238" s="72">
        <v>119.68437113463401</v>
      </c>
      <c r="L238" s="72">
        <v>-56.223233975031498</v>
      </c>
      <c r="M238" s="72">
        <v>137.21779816619201</v>
      </c>
      <c r="N238" s="72">
        <v>0</v>
      </c>
      <c r="O238" s="72">
        <v>1.4776839943500399</v>
      </c>
      <c r="P238" s="72">
        <v>1.6941605839416101</v>
      </c>
      <c r="Q238" s="77">
        <v>1.0311249240707301</v>
      </c>
    </row>
    <row r="239" spans="10:17" ht="14.25">
      <c r="J239" s="72">
        <v>11.6623794212219</v>
      </c>
      <c r="K239" s="72">
        <v>119.949699228656</v>
      </c>
      <c r="L239" s="72">
        <v>-56.223233975031498</v>
      </c>
      <c r="M239" s="72">
        <v>137.21779816619201</v>
      </c>
      <c r="N239" s="72">
        <v>5.3578795655825396E-4</v>
      </c>
      <c r="O239" s="72">
        <v>1.4809598696716899</v>
      </c>
      <c r="P239" s="72">
        <v>1.6941605839416101</v>
      </c>
      <c r="Q239" s="77">
        <v>1.0289934841482</v>
      </c>
    </row>
    <row r="240" spans="10:17" ht="14.25">
      <c r="J240" s="72">
        <v>11.7181136120043</v>
      </c>
      <c r="K240" s="72">
        <v>119.94890464139</v>
      </c>
      <c r="L240" s="72">
        <v>-56.252794034955301</v>
      </c>
      <c r="M240" s="72">
        <v>137.24735822611501</v>
      </c>
      <c r="N240" s="72">
        <v>2.14315182623361E-3</v>
      </c>
      <c r="O240" s="72">
        <v>1.4809500592939999</v>
      </c>
      <c r="P240" s="72">
        <v>1.6945255474452601</v>
      </c>
      <c r="Q240" s="77">
        <v>1.0240925606900799</v>
      </c>
    </row>
    <row r="241" spans="10:17" ht="14.25">
      <c r="J241" s="72">
        <v>11.761521972132901</v>
      </c>
      <c r="K241" s="72">
        <v>119.62312667577299</v>
      </c>
      <c r="L241" s="72">
        <v>-55.809393136098599</v>
      </c>
      <c r="M241" s="72">
        <v>136.80395732725901</v>
      </c>
      <c r="N241" s="72">
        <v>5.3578795655825396E-4</v>
      </c>
      <c r="O241" s="72">
        <v>1.47692783917503</v>
      </c>
      <c r="P241" s="72">
        <v>1.68905109489051</v>
      </c>
      <c r="Q241" s="77">
        <v>1.01754307029048</v>
      </c>
    </row>
    <row r="242" spans="10:17" ht="14.25">
      <c r="J242" s="72">
        <v>11.815112540192899</v>
      </c>
      <c r="K242" s="72">
        <v>119.79972680656201</v>
      </c>
      <c r="L242" s="72">
        <v>-55.484232476937002</v>
      </c>
      <c r="M242" s="72">
        <v>136.478796668097</v>
      </c>
      <c r="N242" s="72">
        <v>5.3578795655825396E-4</v>
      </c>
      <c r="O242" s="72">
        <v>1.47910823402686</v>
      </c>
      <c r="P242" s="72">
        <v>1.6850364963503599</v>
      </c>
      <c r="Q242" s="77">
        <v>1.0144224315358199</v>
      </c>
    </row>
    <row r="243" spans="10:17" ht="14.25">
      <c r="J243" s="72">
        <v>11.8633440514469</v>
      </c>
      <c r="K243" s="72">
        <v>120.065084914221</v>
      </c>
      <c r="L243" s="72">
        <v>-56.134553795260203</v>
      </c>
      <c r="M243" s="72">
        <v>137.12911798642</v>
      </c>
      <c r="N243" s="72">
        <v>1.0715759131165101E-3</v>
      </c>
      <c r="O243" s="72">
        <v>1.48238447991211</v>
      </c>
      <c r="P243" s="72">
        <v>1.69306569343066</v>
      </c>
      <c r="Q243" s="77">
        <v>1.0125349943966899</v>
      </c>
    </row>
    <row r="244" spans="10:17" ht="14.25">
      <c r="J244" s="72">
        <v>11.911575562701</v>
      </c>
      <c r="K244" s="72">
        <v>119.739243504249</v>
      </c>
      <c r="L244" s="72">
        <v>-55.572912656708397</v>
      </c>
      <c r="M244" s="72">
        <v>136.56747684786799</v>
      </c>
      <c r="N244" s="72">
        <v>1.0715759131165101E-3</v>
      </c>
      <c r="O244" s="72">
        <v>1.4783614764769299</v>
      </c>
      <c r="P244" s="72">
        <v>1.6861313868613099</v>
      </c>
      <c r="Q244" s="77">
        <v>1.0056996069581401</v>
      </c>
    </row>
    <row r="245" spans="10:17" ht="14.25">
      <c r="J245" s="72">
        <v>11.9608788853162</v>
      </c>
      <c r="K245" s="72">
        <v>120.388870681253</v>
      </c>
      <c r="L245" s="72">
        <v>-56.164113855183999</v>
      </c>
      <c r="M245" s="72">
        <v>137.15867804634399</v>
      </c>
      <c r="N245" s="72">
        <v>5.3578795655825396E-4</v>
      </c>
      <c r="O245" s="72">
        <v>1.4863821033361699</v>
      </c>
      <c r="P245" s="72">
        <v>1.6934306569343101</v>
      </c>
      <c r="Q245" s="77">
        <v>1.0069853306639001</v>
      </c>
    </row>
    <row r="246" spans="10:17" ht="14.25">
      <c r="J246" s="72">
        <v>12.014469453376201</v>
      </c>
      <c r="K246" s="72">
        <v>120.861079130711</v>
      </c>
      <c r="L246" s="72">
        <v>-56.577954694116897</v>
      </c>
      <c r="M246" s="72">
        <v>137.57251888527699</v>
      </c>
      <c r="N246" s="72">
        <v>5.3578795655825396E-4</v>
      </c>
      <c r="O246" s="72">
        <v>1.4922122285325199</v>
      </c>
      <c r="P246" s="72">
        <v>1.6985401459853999</v>
      </c>
      <c r="Q246" s="77">
        <v>1.00642400159492</v>
      </c>
    </row>
    <row r="247" spans="10:17" ht="14.25">
      <c r="J247" s="72">
        <v>12.063236870310799</v>
      </c>
      <c r="K247" s="72">
        <v>120.59435561129401</v>
      </c>
      <c r="L247" s="72">
        <v>-56.873555293354698</v>
      </c>
      <c r="M247" s="72">
        <v>137.86811948451501</v>
      </c>
      <c r="N247" s="72">
        <v>5.3578795655825396E-4</v>
      </c>
      <c r="O247" s="72">
        <v>1.4889191245806599</v>
      </c>
      <c r="P247" s="72">
        <v>1.7021897810219</v>
      </c>
      <c r="Q247" s="77">
        <v>1.00014433953946</v>
      </c>
    </row>
    <row r="248" spans="10:17" ht="14.25">
      <c r="J248" s="72">
        <v>12.1120042872454</v>
      </c>
      <c r="K248" s="72">
        <v>121.037075248451</v>
      </c>
      <c r="L248" s="72">
        <v>-56.518834574269299</v>
      </c>
      <c r="M248" s="72">
        <v>137.513398765429</v>
      </c>
      <c r="N248" s="72">
        <v>1.0715759131165101E-3</v>
      </c>
      <c r="O248" s="72">
        <v>1.4943851659326699</v>
      </c>
      <c r="P248" s="72">
        <v>1.6978102189780999</v>
      </c>
      <c r="Q248" s="77">
        <v>0.99977260153651404</v>
      </c>
    </row>
    <row r="249" spans="10:17" ht="14.25">
      <c r="J249" s="72">
        <v>12.157556270096499</v>
      </c>
      <c r="K249" s="72">
        <v>120.71127979812999</v>
      </c>
      <c r="L249" s="72">
        <v>-56.311914154802899</v>
      </c>
      <c r="M249" s="72">
        <v>137.306478345963</v>
      </c>
      <c r="N249" s="72">
        <v>0</v>
      </c>
      <c r="O249" s="72">
        <v>1.4903627299386699</v>
      </c>
      <c r="P249" s="72">
        <v>1.6952554744525501</v>
      </c>
      <c r="Q249" s="77">
        <v>0.99334687191646598</v>
      </c>
    </row>
    <row r="250" spans="10:17" ht="14.25">
      <c r="J250" s="72">
        <v>12.2090032154341</v>
      </c>
      <c r="K250" s="72">
        <v>120.621884480617</v>
      </c>
      <c r="L250" s="72">
        <v>-56.725754993735798</v>
      </c>
      <c r="M250" s="72">
        <v>137.720319184896</v>
      </c>
      <c r="N250" s="72">
        <v>1.0715759131165101E-3</v>
      </c>
      <c r="O250" s="72">
        <v>1.48925900997418</v>
      </c>
      <c r="P250" s="72">
        <v>1.70036496350365</v>
      </c>
      <c r="Q250" s="77">
        <v>0.98842884602093395</v>
      </c>
    </row>
    <row r="251" spans="10:17" ht="14.25">
      <c r="J251" s="72">
        <v>12.2583065380493</v>
      </c>
      <c r="K251" s="72">
        <v>121.035041773774</v>
      </c>
      <c r="L251" s="72">
        <v>-56.371034274650398</v>
      </c>
      <c r="M251" s="72">
        <v>137.36559846581</v>
      </c>
      <c r="N251" s="72">
        <v>0</v>
      </c>
      <c r="O251" s="72">
        <v>1.49436005962218</v>
      </c>
      <c r="P251" s="72">
        <v>1.6959854014598501</v>
      </c>
      <c r="Q251" s="77">
        <v>0.98782377900463703</v>
      </c>
    </row>
    <row r="252" spans="10:17" ht="14.25">
      <c r="J252" s="72">
        <v>12.310825294748099</v>
      </c>
      <c r="K252" s="72">
        <v>120.768275041545</v>
      </c>
      <c r="L252" s="72">
        <v>-56.016313555565098</v>
      </c>
      <c r="M252" s="72">
        <v>137.01087774672499</v>
      </c>
      <c r="N252" s="72">
        <v>0</v>
      </c>
      <c r="O252" s="72">
        <v>1.4910664221430101</v>
      </c>
      <c r="P252" s="72">
        <v>1.69160583941606</v>
      </c>
      <c r="Q252" s="77">
        <v>0.98144273240110402</v>
      </c>
    </row>
    <row r="253" spans="10:17" ht="14.25">
      <c r="J253" s="72">
        <v>12.3590568060021</v>
      </c>
      <c r="K253" s="72">
        <v>121.12233060431799</v>
      </c>
      <c r="L253" s="72">
        <v>-56.311914154802899</v>
      </c>
      <c r="M253" s="72">
        <v>137.306478345963</v>
      </c>
      <c r="N253" s="72">
        <v>1.0715759131165101E-3</v>
      </c>
      <c r="O253" s="72">
        <v>1.4954377718293601</v>
      </c>
      <c r="P253" s="72">
        <v>1.6952554744525501</v>
      </c>
      <c r="Q253" s="77">
        <v>0.98047737476071495</v>
      </c>
    </row>
    <row r="254" spans="10:17" ht="14.25">
      <c r="J254" s="72">
        <v>12.4126473740622</v>
      </c>
      <c r="K254" s="72">
        <v>121.18071363295699</v>
      </c>
      <c r="L254" s="72">
        <v>-56.577954694116897</v>
      </c>
      <c r="M254" s="72">
        <v>137.57251888527699</v>
      </c>
      <c r="N254" s="72">
        <v>5.3578795655825396E-4</v>
      </c>
      <c r="O254" s="72">
        <v>1.4961585983344701</v>
      </c>
      <c r="P254" s="72">
        <v>1.6985401459853999</v>
      </c>
      <c r="Q254" s="77">
        <v>0.97671459674793304</v>
      </c>
    </row>
    <row r="255" spans="10:17" ht="14.25">
      <c r="J255" s="72">
        <v>12.4581993569132</v>
      </c>
      <c r="K255" s="72">
        <v>121.623489635846</v>
      </c>
      <c r="L255" s="72">
        <v>-56.577954694116897</v>
      </c>
      <c r="M255" s="72">
        <v>137.57251888527699</v>
      </c>
      <c r="N255" s="72">
        <v>5.3578795655825396E-4</v>
      </c>
      <c r="O255" s="72">
        <v>1.50162533560642</v>
      </c>
      <c r="P255" s="72">
        <v>1.6985401459853999</v>
      </c>
      <c r="Q255" s="77">
        <v>0.97669744448809603</v>
      </c>
    </row>
    <row r="256" spans="10:17" ht="14.25">
      <c r="J256" s="72">
        <v>12.5096463022508</v>
      </c>
      <c r="K256" s="72">
        <v>121.50454543415501</v>
      </c>
      <c r="L256" s="72">
        <v>-56.252794034955301</v>
      </c>
      <c r="M256" s="72">
        <v>137.24735822611501</v>
      </c>
      <c r="N256" s="72">
        <v>5.3578795655825396E-4</v>
      </c>
      <c r="O256" s="72">
        <v>1.5001567901196999</v>
      </c>
      <c r="P256" s="72">
        <v>1.6945255474452601</v>
      </c>
      <c r="Q256" s="77">
        <v>0.97172987636461305</v>
      </c>
    </row>
    <row r="257" spans="10:17" ht="14.25">
      <c r="J257" s="72">
        <v>12.561093247588399</v>
      </c>
      <c r="K257" s="72">
        <v>121.444723264738</v>
      </c>
      <c r="L257" s="72">
        <v>-56.075433675412597</v>
      </c>
      <c r="M257" s="72">
        <v>137.069997866573</v>
      </c>
      <c r="N257" s="72">
        <v>1.0715759131165101E-3</v>
      </c>
      <c r="O257" s="72">
        <v>1.49941819525208</v>
      </c>
      <c r="P257" s="72">
        <v>1.69233576642336</v>
      </c>
      <c r="Q257" s="77">
        <v>0.96727367580383095</v>
      </c>
    </row>
    <row r="258" spans="10:17" ht="14.25">
      <c r="J258" s="72">
        <v>12.609860664523</v>
      </c>
      <c r="K258" s="72">
        <v>121.59185984548201</v>
      </c>
      <c r="L258" s="72">
        <v>-56.696194933812002</v>
      </c>
      <c r="M258" s="72">
        <v>137.690759124972</v>
      </c>
      <c r="N258" s="72">
        <v>5.3578795655825396E-4</v>
      </c>
      <c r="O258" s="72">
        <v>1.50123481816022</v>
      </c>
      <c r="P258" s="72">
        <v>1.7</v>
      </c>
      <c r="Q258" s="77">
        <v>0.96469967586624905</v>
      </c>
    </row>
    <row r="259" spans="10:17" ht="14.25">
      <c r="J259" s="72">
        <v>12.658628081457699</v>
      </c>
      <c r="K259" s="72">
        <v>121.768558204554</v>
      </c>
      <c r="L259" s="72">
        <v>-56.4597144544218</v>
      </c>
      <c r="M259" s="72">
        <v>137.45427864558201</v>
      </c>
      <c r="N259" s="72">
        <v>1.0715759131165101E-3</v>
      </c>
      <c r="O259" s="72">
        <v>1.50341642578829</v>
      </c>
      <c r="P259" s="72">
        <v>1.6970802919707999</v>
      </c>
      <c r="Q259" s="77">
        <v>0.96237903928434898</v>
      </c>
    </row>
    <row r="260" spans="10:17" ht="14.25">
      <c r="J260" s="72">
        <v>12.7100750267953</v>
      </c>
      <c r="K260" s="72">
        <v>121.915661992674</v>
      </c>
      <c r="L260" s="72">
        <v>-56.341474214726702</v>
      </c>
      <c r="M260" s="72">
        <v>137.336038405887</v>
      </c>
      <c r="N260" s="72">
        <v>5.3578795655825396E-4</v>
      </c>
      <c r="O260" s="72">
        <v>1.50523264382204</v>
      </c>
      <c r="P260" s="72">
        <v>1.6956204379562001</v>
      </c>
      <c r="Q260" s="77">
        <v>0.95964096866377602</v>
      </c>
    </row>
    <row r="261" spans="10:17" ht="14.25">
      <c r="J261" s="72">
        <v>12.7593783494105</v>
      </c>
      <c r="K261" s="72">
        <v>121.61939569781001</v>
      </c>
      <c r="L261" s="72">
        <v>-55.898073315869901</v>
      </c>
      <c r="M261" s="72">
        <v>136.89263750703</v>
      </c>
      <c r="N261" s="72">
        <v>5.3578795655825396E-4</v>
      </c>
      <c r="O261" s="72">
        <v>1.50157478976946</v>
      </c>
      <c r="P261" s="72">
        <v>1.69014598540146</v>
      </c>
      <c r="Q261" s="77">
        <v>0.95361088509291203</v>
      </c>
    </row>
    <row r="262" spans="10:17" ht="14.25">
      <c r="J262" s="72">
        <v>12.808681672025701</v>
      </c>
      <c r="K262" s="72">
        <v>122.032572597495</v>
      </c>
      <c r="L262" s="72">
        <v>-56.164113855183999</v>
      </c>
      <c r="M262" s="72">
        <v>137.15867804634399</v>
      </c>
      <c r="N262" s="72">
        <v>1.0715759131165101E-3</v>
      </c>
      <c r="O262" s="72">
        <v>1.5066760814896001</v>
      </c>
      <c r="P262" s="72">
        <v>1.6934306569343101</v>
      </c>
      <c r="Q262" s="77">
        <v>0.95316599191073204</v>
      </c>
    </row>
    <row r="263" spans="10:17" ht="14.25">
      <c r="J263" s="72">
        <v>12.856913183279699</v>
      </c>
      <c r="K263" s="72">
        <v>122.09104491107701</v>
      </c>
      <c r="L263" s="72">
        <v>-56.430154394497997</v>
      </c>
      <c r="M263" s="72">
        <v>137.42471858565801</v>
      </c>
      <c r="N263" s="72">
        <v>1.0715759131165101E-3</v>
      </c>
      <c r="O263" s="72">
        <v>1.50739801035194</v>
      </c>
      <c r="P263" s="72">
        <v>1.6967153284671499</v>
      </c>
      <c r="Q263" s="77">
        <v>0.95004507133395</v>
      </c>
    </row>
    <row r="264" spans="10:17" ht="14.25">
      <c r="J264" s="72">
        <v>12.908896034297999</v>
      </c>
      <c r="K264" s="72">
        <v>122.179028781678</v>
      </c>
      <c r="L264" s="72">
        <v>-56.666634873888299</v>
      </c>
      <c r="M264" s="72">
        <v>137.66119906504801</v>
      </c>
      <c r="N264" s="72">
        <v>5.3578795655825396E-4</v>
      </c>
      <c r="O264" s="72">
        <v>1.5084843038764399</v>
      </c>
      <c r="P264" s="72">
        <v>1.6996350364963499</v>
      </c>
      <c r="Q264" s="77">
        <v>0.94690090902635604</v>
      </c>
    </row>
    <row r="265" spans="10:17" ht="14.25">
      <c r="J265" s="72">
        <v>12.959807073955</v>
      </c>
      <c r="K265" s="72">
        <v>122.38526914136899</v>
      </c>
      <c r="L265" s="72">
        <v>-55.809393136098599</v>
      </c>
      <c r="M265" s="72">
        <v>136.80395732725901</v>
      </c>
      <c r="N265" s="72">
        <v>1.0715759131165101E-3</v>
      </c>
      <c r="O265" s="72">
        <v>1.5110306520388299</v>
      </c>
      <c r="P265" s="72">
        <v>1.68905109489051</v>
      </c>
      <c r="Q265" s="77">
        <v>0.94477250745339103</v>
      </c>
    </row>
    <row r="266" spans="10:17" ht="14.25">
      <c r="J266" s="72">
        <v>13.0101822079314</v>
      </c>
      <c r="K266" s="72">
        <v>122.56195844298701</v>
      </c>
      <c r="L266" s="72">
        <v>-56.637074813964503</v>
      </c>
      <c r="M266" s="72">
        <v>137.63163900512399</v>
      </c>
      <c r="N266" s="72">
        <v>-5.3578795655825396E-4</v>
      </c>
      <c r="O266" s="72">
        <v>1.51321214783897</v>
      </c>
      <c r="P266" s="72">
        <v>1.6992700729926999</v>
      </c>
      <c r="Q266" s="77">
        <v>0.942472454233521</v>
      </c>
    </row>
    <row r="267" spans="10:17" ht="14.25">
      <c r="J267" s="72">
        <v>13.057341907824201</v>
      </c>
      <c r="K267" s="72">
        <v>122.79781235969</v>
      </c>
      <c r="L267" s="72">
        <v>-56.666634873888299</v>
      </c>
      <c r="M267" s="72">
        <v>137.66119906504801</v>
      </c>
      <c r="N267" s="72">
        <v>1.0715759131165101E-3</v>
      </c>
      <c r="O267" s="72">
        <v>1.51612412000721</v>
      </c>
      <c r="P267" s="72">
        <v>1.6996350364963499</v>
      </c>
      <c r="Q267" s="77">
        <v>0.94087478400508795</v>
      </c>
    </row>
    <row r="268" spans="10:17" ht="14.25">
      <c r="J268" s="72">
        <v>13.105573419078199</v>
      </c>
      <c r="K268" s="72">
        <v>122.767613159186</v>
      </c>
      <c r="L268" s="72">
        <v>-56.548394634193102</v>
      </c>
      <c r="M268" s="72">
        <v>137.542958825353</v>
      </c>
      <c r="N268" s="72">
        <v>0</v>
      </c>
      <c r="O268" s="72">
        <v>1.51575126534954</v>
      </c>
      <c r="P268" s="72">
        <v>1.6981751824817499</v>
      </c>
      <c r="Q268" s="77">
        <v>0.93718171913595905</v>
      </c>
    </row>
    <row r="269" spans="10:17" ht="14.25">
      <c r="J269" s="72">
        <v>13.153804930332299</v>
      </c>
      <c r="K269" s="72">
        <v>122.73741563952601</v>
      </c>
      <c r="L269" s="72">
        <v>-56.518834574269299</v>
      </c>
      <c r="M269" s="72">
        <v>137.513398765429</v>
      </c>
      <c r="N269" s="72">
        <v>5.3578795655825396E-4</v>
      </c>
      <c r="O269" s="72">
        <v>1.5153784314444301</v>
      </c>
      <c r="P269" s="72">
        <v>1.6978102189780999</v>
      </c>
      <c r="Q269" s="77">
        <v>0.93351575002246201</v>
      </c>
    </row>
    <row r="270" spans="10:17" ht="14.25">
      <c r="J270" s="72">
        <v>13.2063236870311</v>
      </c>
      <c r="K270" s="72">
        <v>122.766283488223</v>
      </c>
      <c r="L270" s="72">
        <v>-56.696194933812002</v>
      </c>
      <c r="M270" s="72">
        <v>137.690759124972</v>
      </c>
      <c r="N270" s="72">
        <v>-5.3578795655825396E-4</v>
      </c>
      <c r="O270" s="72">
        <v>1.51573484855693</v>
      </c>
      <c r="P270" s="72">
        <v>1.7</v>
      </c>
      <c r="Q270" s="77">
        <v>0.93002194638916402</v>
      </c>
    </row>
    <row r="271" spans="10:17" ht="14.25">
      <c r="J271" s="72">
        <v>13.2604501607717</v>
      </c>
      <c r="K271" s="72">
        <v>122.529091692854</v>
      </c>
      <c r="L271" s="72">
        <v>-56.577954694116897</v>
      </c>
      <c r="M271" s="72">
        <v>137.57251888527699</v>
      </c>
      <c r="N271" s="72">
        <v>1.0715759131165101E-3</v>
      </c>
      <c r="O271" s="72">
        <v>1.5128063582596201</v>
      </c>
      <c r="P271" s="72">
        <v>1.6985401459853999</v>
      </c>
      <c r="Q271" s="77">
        <v>0.92443706902086897</v>
      </c>
    </row>
    <row r="272" spans="10:17" ht="14.25">
      <c r="J272" s="72">
        <v>13.305466237942101</v>
      </c>
      <c r="K272" s="72">
        <v>122.794542255007</v>
      </c>
      <c r="L272" s="72">
        <v>-56.1049937353364</v>
      </c>
      <c r="M272" s="72">
        <v>137.099557926496</v>
      </c>
      <c r="N272" s="72">
        <v>5.3578795655825396E-4</v>
      </c>
      <c r="O272" s="72">
        <v>1.5160837456349801</v>
      </c>
      <c r="P272" s="72">
        <v>1.69270072992701</v>
      </c>
      <c r="Q272" s="77">
        <v>0.92330449133035497</v>
      </c>
    </row>
    <row r="273" spans="10:17" ht="14.25">
      <c r="J273" s="72">
        <v>13.357449088960299</v>
      </c>
      <c r="K273" s="72">
        <v>123.355503932049</v>
      </c>
      <c r="L273" s="72">
        <v>-56.577954694116897</v>
      </c>
      <c r="M273" s="72">
        <v>137.57251888527699</v>
      </c>
      <c r="N273" s="72">
        <v>1.60736386967476E-3</v>
      </c>
      <c r="O273" s="72">
        <v>1.52300966322765</v>
      </c>
      <c r="P273" s="72">
        <v>1.6985401459853999</v>
      </c>
      <c r="Q273" s="77">
        <v>0.923910907108771</v>
      </c>
    </row>
    <row r="274" spans="10:17" ht="14.25">
      <c r="J274" s="72">
        <v>13.406216505894999</v>
      </c>
      <c r="K274" s="72">
        <v>123.41398839398801</v>
      </c>
      <c r="L274" s="72">
        <v>-56.932675413202297</v>
      </c>
      <c r="M274" s="72">
        <v>137.927239604362</v>
      </c>
      <c r="N274" s="72">
        <v>5.3578795655825396E-4</v>
      </c>
      <c r="O274" s="72">
        <v>1.52373174207977</v>
      </c>
      <c r="P274" s="72">
        <v>1.7029197080292</v>
      </c>
      <c r="Q274" s="77">
        <v>0.92098627119779097</v>
      </c>
    </row>
    <row r="275" spans="10:17" ht="14.25">
      <c r="J275" s="72">
        <v>13.4549839228296</v>
      </c>
      <c r="K275" s="72">
        <v>123.088193795321</v>
      </c>
      <c r="L275" s="72">
        <v>-56.489274514345603</v>
      </c>
      <c r="M275" s="72">
        <v>137.483838705506</v>
      </c>
      <c r="N275" s="72">
        <v>0</v>
      </c>
      <c r="O275" s="72">
        <v>1.5197093166007301</v>
      </c>
      <c r="P275" s="72">
        <v>1.6974452554744499</v>
      </c>
      <c r="Q275" s="77">
        <v>0.91522680081940599</v>
      </c>
    </row>
    <row r="276" spans="10:17" ht="14.25">
      <c r="J276" s="72">
        <v>13.5069667738478</v>
      </c>
      <c r="K276" s="72">
        <v>123.530920848555</v>
      </c>
      <c r="L276" s="72">
        <v>-56.6075147540407</v>
      </c>
      <c r="M276" s="72">
        <v>137.60207894520099</v>
      </c>
      <c r="N276" s="72">
        <v>1.0715759131165101E-3</v>
      </c>
      <c r="O276" s="72">
        <v>1.52517544951539</v>
      </c>
      <c r="P276" s="72">
        <v>1.6989051094890499</v>
      </c>
      <c r="Q276" s="77">
        <v>0.91498223124528899</v>
      </c>
    </row>
    <row r="277" spans="10:17" ht="14.25">
      <c r="J277" s="72">
        <v>13.556270096463001</v>
      </c>
      <c r="K277" s="72">
        <v>123.471163421501</v>
      </c>
      <c r="L277" s="72">
        <v>-56.430154394497997</v>
      </c>
      <c r="M277" s="72">
        <v>137.42471858565801</v>
      </c>
      <c r="N277" s="72">
        <v>1.0715759131165101E-3</v>
      </c>
      <c r="O277" s="72">
        <v>1.5244376539898401</v>
      </c>
      <c r="P277" s="72">
        <v>1.6967153284671499</v>
      </c>
      <c r="Q277" s="77">
        <v>0.91121368676541803</v>
      </c>
    </row>
    <row r="278" spans="10:17" ht="14.25">
      <c r="J278" s="72">
        <v>13.609860664523</v>
      </c>
      <c r="K278" s="72">
        <v>123.41135256854101</v>
      </c>
      <c r="L278" s="72">
        <v>-56.016313555565098</v>
      </c>
      <c r="M278" s="72">
        <v>137.01087774672499</v>
      </c>
      <c r="N278" s="72">
        <v>0</v>
      </c>
      <c r="O278" s="72">
        <v>1.5236991988409301</v>
      </c>
      <c r="P278" s="72">
        <v>1.69160583941606</v>
      </c>
      <c r="Q278" s="77">
        <v>0.90718619921466404</v>
      </c>
    </row>
    <row r="279" spans="10:17" ht="14.25">
      <c r="J279" s="72">
        <v>13.652197213290499</v>
      </c>
      <c r="K279" s="72">
        <v>123.440368416517</v>
      </c>
      <c r="L279" s="72">
        <v>-55.6024727166321</v>
      </c>
      <c r="M279" s="72">
        <v>136.59703690779199</v>
      </c>
      <c r="N279" s="72">
        <v>0</v>
      </c>
      <c r="O279" s="72">
        <v>1.5240574432276499</v>
      </c>
      <c r="P279" s="72">
        <v>1.6864963503649599</v>
      </c>
      <c r="Q279" s="77">
        <v>0.90458547880227202</v>
      </c>
    </row>
    <row r="280" spans="10:17" ht="14.25">
      <c r="J280" s="72">
        <v>13.7084673097535</v>
      </c>
      <c r="K280" s="72">
        <v>123.912608060182</v>
      </c>
      <c r="L280" s="72">
        <v>-56.6075147540407</v>
      </c>
      <c r="M280" s="72">
        <v>137.60207894520099</v>
      </c>
      <c r="N280" s="72">
        <v>0</v>
      </c>
      <c r="O280" s="72">
        <v>1.5298879535634999</v>
      </c>
      <c r="P280" s="72">
        <v>1.6989051094890499</v>
      </c>
      <c r="Q280" s="77">
        <v>0.90431723964017696</v>
      </c>
    </row>
    <row r="281" spans="10:17" ht="14.25">
      <c r="J281" s="72">
        <v>13.7572347266881</v>
      </c>
      <c r="K281" s="72">
        <v>123.527703991994</v>
      </c>
      <c r="L281" s="72">
        <v>-56.577954694116897</v>
      </c>
      <c r="M281" s="72">
        <v>137.57251888527699</v>
      </c>
      <c r="N281" s="72">
        <v>5.3578795655825396E-4</v>
      </c>
      <c r="O281" s="72">
        <v>1.5251357325715</v>
      </c>
      <c r="P281" s="72">
        <v>1.6985401459853999</v>
      </c>
      <c r="Q281" s="77">
        <v>0.89831373498780598</v>
      </c>
    </row>
    <row r="282" spans="10:17" ht="14.25">
      <c r="J282" s="72">
        <v>13.803858520900301</v>
      </c>
      <c r="K282" s="72">
        <v>124.177431025228</v>
      </c>
      <c r="L282" s="72">
        <v>-56.4597144544218</v>
      </c>
      <c r="M282" s="72">
        <v>137.45427864558201</v>
      </c>
      <c r="N282" s="72">
        <v>5.3578795655825396E-4</v>
      </c>
      <c r="O282" s="72">
        <v>1.53315759230644</v>
      </c>
      <c r="P282" s="72">
        <v>1.6970802919707999</v>
      </c>
      <c r="Q282" s="77">
        <v>0.89998644907498304</v>
      </c>
    </row>
    <row r="283" spans="10:17" ht="14.25">
      <c r="J283" s="72">
        <v>13.852090032154299</v>
      </c>
      <c r="K283" s="72">
        <v>123.881217301142</v>
      </c>
      <c r="L283" s="72">
        <v>-55.9571934357175</v>
      </c>
      <c r="M283" s="72">
        <v>136.95175762687799</v>
      </c>
      <c r="N283" s="72">
        <v>1.0715759131165101E-3</v>
      </c>
      <c r="O283" s="72">
        <v>1.52950038731936</v>
      </c>
      <c r="P283" s="72">
        <v>1.69087591240876</v>
      </c>
      <c r="Q283" s="77">
        <v>0.89471438696838801</v>
      </c>
    </row>
    <row r="284" spans="10:17" ht="14.25">
      <c r="J284" s="72">
        <v>13.907288317256199</v>
      </c>
      <c r="K284" s="72">
        <v>123.939637796225</v>
      </c>
      <c r="L284" s="72">
        <v>-56.371034274650398</v>
      </c>
      <c r="M284" s="72">
        <v>137.36559846581</v>
      </c>
      <c r="N284" s="72">
        <v>5.3578795655825396E-4</v>
      </c>
      <c r="O284" s="72">
        <v>1.5302216764042</v>
      </c>
      <c r="P284" s="72">
        <v>1.6959854014598501</v>
      </c>
      <c r="Q284" s="77">
        <v>0.89158332005477003</v>
      </c>
    </row>
    <row r="285" spans="10:17" ht="14.25">
      <c r="J285" s="72">
        <v>13.9581993569132</v>
      </c>
      <c r="K285" s="72">
        <v>124.145914882361</v>
      </c>
      <c r="L285" s="72">
        <v>-56.696194933812002</v>
      </c>
      <c r="M285" s="72">
        <v>137.690759124972</v>
      </c>
      <c r="N285" s="72">
        <v>1.0715759131165101E-3</v>
      </c>
      <c r="O285" s="72">
        <v>1.53276847800991</v>
      </c>
      <c r="P285" s="72">
        <v>1.7</v>
      </c>
      <c r="Q285" s="77">
        <v>0.88980918540329801</v>
      </c>
    </row>
    <row r="286" spans="10:17" ht="14.25">
      <c r="J286" s="72">
        <v>14.0058949624866</v>
      </c>
      <c r="K286" s="72">
        <v>124.11575381979</v>
      </c>
      <c r="L286" s="72">
        <v>-56.489274514345603</v>
      </c>
      <c r="M286" s="72">
        <v>137.483838705506</v>
      </c>
      <c r="N286" s="72">
        <v>-5.3578795655825396E-4</v>
      </c>
      <c r="O286" s="72">
        <v>1.5323960942225401</v>
      </c>
      <c r="P286" s="72">
        <v>1.6974452554744499</v>
      </c>
      <c r="Q286" s="77">
        <v>0.88656368810938102</v>
      </c>
    </row>
    <row r="287" spans="10:17" ht="14.25">
      <c r="J287" s="72">
        <v>14.055734190782401</v>
      </c>
      <c r="K287" s="72">
        <v>123.93776720241701</v>
      </c>
      <c r="L287" s="72">
        <v>-56.311914154802899</v>
      </c>
      <c r="M287" s="72">
        <v>137.306478345963</v>
      </c>
      <c r="N287" s="72">
        <v>5.3578795655825396E-4</v>
      </c>
      <c r="O287" s="72">
        <v>1.5301985811035901</v>
      </c>
      <c r="P287" s="72">
        <v>1.6952554744525501</v>
      </c>
      <c r="Q287" s="77">
        <v>0.88215379311944597</v>
      </c>
    </row>
    <row r="288" spans="10:17" ht="14.25">
      <c r="J288" s="72">
        <v>14.100214362272199</v>
      </c>
      <c r="K288" s="72">
        <v>124.173690279193</v>
      </c>
      <c r="L288" s="72">
        <v>-56.075433675412597</v>
      </c>
      <c r="M288" s="72">
        <v>137.069997866573</v>
      </c>
      <c r="N288" s="72">
        <v>5.3578795655825396E-4</v>
      </c>
      <c r="O288" s="72">
        <v>1.5331114071571901</v>
      </c>
      <c r="P288" s="72">
        <v>1.69233576642336</v>
      </c>
      <c r="Q288" s="77">
        <v>0.88104416145578801</v>
      </c>
    </row>
    <row r="289" spans="10:17" ht="14.25">
      <c r="J289" s="72">
        <v>14.146838156484501</v>
      </c>
      <c r="K289" s="72">
        <v>124.261787728122</v>
      </c>
      <c r="L289" s="72">
        <v>-55.779833076174803</v>
      </c>
      <c r="M289" s="72">
        <v>136.77439726733499</v>
      </c>
      <c r="N289" s="72">
        <v>5.3578795655825396E-4</v>
      </c>
      <c r="O289" s="72">
        <v>1.53419910297739</v>
      </c>
      <c r="P289" s="72">
        <v>1.68868613138686</v>
      </c>
      <c r="Q289" s="77">
        <v>0.87876323645857302</v>
      </c>
    </row>
    <row r="290" spans="10:17" ht="14.25">
      <c r="J290" s="72">
        <v>14.2063236870311</v>
      </c>
      <c r="K290" s="72">
        <v>124.49752700368001</v>
      </c>
      <c r="L290" s="72">
        <v>-56.282354094879103</v>
      </c>
      <c r="M290" s="72">
        <v>137.27691828603901</v>
      </c>
      <c r="N290" s="72">
        <v>5.3578795655825396E-4</v>
      </c>
      <c r="O290" s="72">
        <v>1.53710965972785</v>
      </c>
      <c r="P290" s="72">
        <v>1.6948905109489101</v>
      </c>
      <c r="Q290" s="77">
        <v>0.87674302557065298</v>
      </c>
    </row>
    <row r="291" spans="10:17" ht="14.25">
      <c r="J291" s="72">
        <v>14.2529474812433</v>
      </c>
      <c r="K291" s="72">
        <v>124.31958748789</v>
      </c>
      <c r="L291" s="72">
        <v>-55.661592836479699</v>
      </c>
      <c r="M291" s="72">
        <v>136.65615702764001</v>
      </c>
      <c r="N291" s="72">
        <v>5.3578795655825396E-4</v>
      </c>
      <c r="O291" s="72">
        <v>1.5349127281489601</v>
      </c>
      <c r="P291" s="72">
        <v>1.6872262773722599</v>
      </c>
      <c r="Q291" s="77">
        <v>0.87262661118988105</v>
      </c>
    </row>
    <row r="292" spans="10:17" ht="14.25">
      <c r="J292" s="72">
        <v>14.303322615219701</v>
      </c>
      <c r="K292" s="72">
        <v>124.023362898928</v>
      </c>
      <c r="L292" s="72">
        <v>-55.513792536860798</v>
      </c>
      <c r="M292" s="72">
        <v>136.508356728021</v>
      </c>
      <c r="N292" s="72">
        <v>-5.3578795655825396E-4</v>
      </c>
      <c r="O292" s="72">
        <v>1.53125538901861</v>
      </c>
      <c r="P292" s="72">
        <v>1.6854014598540099</v>
      </c>
      <c r="Q292" s="77">
        <v>0.86748227212086004</v>
      </c>
    </row>
    <row r="293" spans="10:17" ht="14.25">
      <c r="J293" s="72">
        <v>14.354233654876699</v>
      </c>
      <c r="K293" s="72">
        <v>124.436574972884</v>
      </c>
      <c r="L293" s="72">
        <v>-55.484232476937002</v>
      </c>
      <c r="M293" s="72">
        <v>136.478796668097</v>
      </c>
      <c r="N293" s="72">
        <v>0</v>
      </c>
      <c r="O293" s="72">
        <v>1.5363571150181601</v>
      </c>
      <c r="P293" s="72">
        <v>1.6850364963503599</v>
      </c>
      <c r="Q293" s="77">
        <v>0.867284196972406</v>
      </c>
    </row>
    <row r="294" spans="10:17" ht="14.25">
      <c r="J294" s="72">
        <v>14.405680600214399</v>
      </c>
      <c r="K294" s="72">
        <v>124.34726131202299</v>
      </c>
      <c r="L294" s="72">
        <v>-55.9571934357175</v>
      </c>
      <c r="M294" s="72">
        <v>136.95175762687799</v>
      </c>
      <c r="N294" s="72">
        <v>5.3578795655825396E-4</v>
      </c>
      <c r="O294" s="72">
        <v>1.5352544032281401</v>
      </c>
      <c r="P294" s="72">
        <v>1.69087591240876</v>
      </c>
      <c r="Q294" s="77">
        <v>0.86356687946093103</v>
      </c>
    </row>
    <row r="295" spans="10:17" ht="14.25">
      <c r="J295" s="72">
        <v>14.4528403001072</v>
      </c>
      <c r="K295" s="72">
        <v>124.849203319743</v>
      </c>
      <c r="L295" s="72">
        <v>-55.927633375793697</v>
      </c>
      <c r="M295" s="72">
        <v>136.922197566954</v>
      </c>
      <c r="N295" s="72">
        <v>-5.3578795655825396E-4</v>
      </c>
      <c r="O295" s="72">
        <v>1.54145163402668</v>
      </c>
      <c r="P295" s="72">
        <v>1.69051094890511</v>
      </c>
      <c r="Q295" s="77">
        <v>0.86422202029848405</v>
      </c>
    </row>
    <row r="296" spans="10:17" ht="14.25">
      <c r="J296" s="72">
        <v>14.5005359056806</v>
      </c>
      <c r="K296" s="72">
        <v>124.553018764315</v>
      </c>
      <c r="L296" s="72">
        <v>-55.2477519975468</v>
      </c>
      <c r="M296" s="72">
        <v>136.24231618870701</v>
      </c>
      <c r="N296" s="72">
        <v>0</v>
      </c>
      <c r="O296" s="72">
        <v>1.53779478917067</v>
      </c>
      <c r="P296" s="72">
        <v>1.6821167883211701</v>
      </c>
      <c r="Q296" s="77">
        <v>0.85933681821964203</v>
      </c>
    </row>
    <row r="297" spans="10:17" ht="14.25">
      <c r="J297" s="72">
        <v>14.551982851018201</v>
      </c>
      <c r="K297" s="72">
        <v>124.847991320928</v>
      </c>
      <c r="L297" s="72">
        <v>-55.543352596784601</v>
      </c>
      <c r="M297" s="72">
        <v>136.53791678794499</v>
      </c>
      <c r="N297" s="72">
        <v>0</v>
      </c>
      <c r="O297" s="72">
        <v>1.54143667007415</v>
      </c>
      <c r="P297" s="72">
        <v>1.6857664233576599</v>
      </c>
      <c r="Q297" s="77">
        <v>0.85832575334945405</v>
      </c>
    </row>
    <row r="298" spans="10:17" ht="14.25">
      <c r="J298" s="72">
        <v>14.603965702036399</v>
      </c>
      <c r="K298" s="72">
        <v>124.965598918301</v>
      </c>
      <c r="L298" s="72">
        <v>-55.454672417013199</v>
      </c>
      <c r="M298" s="72">
        <v>136.44923660817301</v>
      </c>
      <c r="N298" s="72">
        <v>5.3578795655825396E-4</v>
      </c>
      <c r="O298" s="72">
        <v>1.54288871316551</v>
      </c>
      <c r="P298" s="72">
        <v>1.6846715328467201</v>
      </c>
      <c r="Q298" s="77">
        <v>0.85607585351439297</v>
      </c>
    </row>
    <row r="299" spans="10:17" ht="14.25">
      <c r="J299" s="72">
        <v>14.652197213290499</v>
      </c>
      <c r="K299" s="72">
        <v>124.72853319739799</v>
      </c>
      <c r="L299" s="72">
        <v>-55.2477519975468</v>
      </c>
      <c r="M299" s="72">
        <v>136.24231618870701</v>
      </c>
      <c r="N299" s="72">
        <v>5.3578795655825396E-4</v>
      </c>
      <c r="O299" s="72">
        <v>1.53996177944756</v>
      </c>
      <c r="P299" s="72">
        <v>1.6821167883211701</v>
      </c>
      <c r="Q299" s="77">
        <v>0.85163990419517799</v>
      </c>
    </row>
    <row r="300" spans="10:17" ht="14.25">
      <c r="J300" s="72">
        <v>14.7036441586281</v>
      </c>
      <c r="K300" s="72">
        <v>124.993951331763</v>
      </c>
      <c r="L300" s="72">
        <v>-55.484232476937002</v>
      </c>
      <c r="M300" s="72">
        <v>136.478796668097</v>
      </c>
      <c r="N300" s="72">
        <v>1.0715759131165101E-3</v>
      </c>
      <c r="O300" s="72">
        <v>1.5432387664529901</v>
      </c>
      <c r="P300" s="72">
        <v>1.6850364963503599</v>
      </c>
      <c r="Q300" s="77">
        <v>0.850465198253193</v>
      </c>
    </row>
    <row r="301" spans="10:17" ht="14.25">
      <c r="J301" s="72">
        <v>14.7529474812433</v>
      </c>
      <c r="K301" s="72">
        <v>124.7273161156</v>
      </c>
      <c r="L301" s="72">
        <v>-54.715670918918697</v>
      </c>
      <c r="M301" s="72">
        <v>135.710235110079</v>
      </c>
      <c r="N301" s="72">
        <v>5.3578795655825396E-4</v>
      </c>
      <c r="O301" s="72">
        <v>1.53994675273792</v>
      </c>
      <c r="P301" s="72">
        <v>1.6755474452554699</v>
      </c>
      <c r="Q301" s="77">
        <v>0.84581566759187898</v>
      </c>
    </row>
    <row r="302" spans="10:17" ht="14.25">
      <c r="J302" s="72">
        <v>14.8006430868167</v>
      </c>
      <c r="K302" s="72">
        <v>124.992783041104</v>
      </c>
      <c r="L302" s="72">
        <v>-55.218191937622997</v>
      </c>
      <c r="M302" s="72">
        <v>136.21275612878301</v>
      </c>
      <c r="N302" s="72">
        <v>0</v>
      </c>
      <c r="O302" s="72">
        <v>1.5432243421435199</v>
      </c>
      <c r="P302" s="72">
        <v>1.6817518248175201</v>
      </c>
      <c r="Q302" s="77">
        <v>0.844883613637332</v>
      </c>
    </row>
    <row r="303" spans="10:17" ht="14.25">
      <c r="J303" s="72">
        <v>14.851018220793099</v>
      </c>
      <c r="K303" s="72">
        <v>124.962618926682</v>
      </c>
      <c r="L303" s="72">
        <v>-54.538310559376001</v>
      </c>
      <c r="M303" s="72">
        <v>135.532874750536</v>
      </c>
      <c r="N303" s="72">
        <v>1.0715759131165101E-3</v>
      </c>
      <c r="O303" s="72">
        <v>1.5428519206764399</v>
      </c>
      <c r="P303" s="72">
        <v>1.6733576642335799</v>
      </c>
      <c r="Q303" s="77">
        <v>0.84181462967973297</v>
      </c>
    </row>
    <row r="304" spans="10:17" ht="14.25">
      <c r="J304" s="72">
        <v>14.901929260450199</v>
      </c>
      <c r="K304" s="72">
        <v>125.05069048878001</v>
      </c>
      <c r="L304" s="72">
        <v>-54.981711458232702</v>
      </c>
      <c r="M304" s="72">
        <v>135.97627564939299</v>
      </c>
      <c r="N304" s="72">
        <v>5.3578795655825396E-4</v>
      </c>
      <c r="O304" s="72">
        <v>1.5439392968846699</v>
      </c>
      <c r="P304" s="72">
        <v>1.67883211678832</v>
      </c>
      <c r="Q304" s="77">
        <v>0.83952965696307102</v>
      </c>
    </row>
    <row r="305" spans="10:17" ht="14.25">
      <c r="J305" s="72">
        <v>14.9528403001072</v>
      </c>
      <c r="K305" s="72">
        <v>125.257004163365</v>
      </c>
      <c r="L305" s="72">
        <v>-54.952151398308899</v>
      </c>
      <c r="M305" s="72">
        <v>135.94671558946899</v>
      </c>
      <c r="N305" s="72">
        <v>5.3578795655825396E-4</v>
      </c>
      <c r="O305" s="72">
        <v>1.5464865502299401</v>
      </c>
      <c r="P305" s="72">
        <v>1.67846715328467</v>
      </c>
      <c r="Q305" s="77">
        <v>0.83805101078236999</v>
      </c>
    </row>
    <row r="306" spans="10:17" ht="14.25">
      <c r="J306" s="72">
        <v>15.005359056806</v>
      </c>
      <c r="K306" s="72">
        <v>125.52242075987</v>
      </c>
      <c r="L306" s="72">
        <v>-54.8930312784614</v>
      </c>
      <c r="M306" s="72">
        <v>135.887595469621</v>
      </c>
      <c r="N306" s="72">
        <v>1.0715759131165101E-3</v>
      </c>
      <c r="O306" s="72">
        <v>1.5497635182481799</v>
      </c>
      <c r="P306" s="72">
        <v>1.67773722627737</v>
      </c>
      <c r="Q306" s="77">
        <v>0.83688664427705495</v>
      </c>
    </row>
    <row r="307" spans="10:17" ht="14.25">
      <c r="J307" s="72">
        <v>15.048231511254</v>
      </c>
      <c r="K307" s="72">
        <v>125.25587235697</v>
      </c>
      <c r="L307" s="72">
        <v>-54.213149900214397</v>
      </c>
      <c r="M307" s="72">
        <v>135.20771409137399</v>
      </c>
      <c r="N307" s="72">
        <v>5.3578795655825396E-4</v>
      </c>
      <c r="O307" s="72">
        <v>1.5464725763737199</v>
      </c>
      <c r="P307" s="72">
        <v>1.6693430656934301</v>
      </c>
      <c r="Q307" s="77">
        <v>0.83273105796924696</v>
      </c>
    </row>
    <row r="308" spans="10:17" ht="14.25">
      <c r="J308" s="72">
        <v>15.101822079313999</v>
      </c>
      <c r="K308" s="72">
        <v>125.373479634788</v>
      </c>
      <c r="L308" s="72">
        <v>-54.981711458232702</v>
      </c>
      <c r="M308" s="72">
        <v>135.97627564939299</v>
      </c>
      <c r="N308" s="72">
        <v>0</v>
      </c>
      <c r="O308" s="72">
        <v>1.5479246155197099</v>
      </c>
      <c r="P308" s="72">
        <v>1.67883211678832</v>
      </c>
      <c r="Q308" s="77">
        <v>0.83055477735334304</v>
      </c>
    </row>
    <row r="309" spans="10:17" ht="14.25">
      <c r="J309" s="72">
        <v>15.150053590568101</v>
      </c>
      <c r="K309" s="72">
        <v>125.520712042941</v>
      </c>
      <c r="L309" s="72">
        <v>-54.567870619299804</v>
      </c>
      <c r="M309" s="72">
        <v>135.56243481045999</v>
      </c>
      <c r="N309" s="72">
        <v>1.0715759131165101E-3</v>
      </c>
      <c r="O309" s="72">
        <v>1.54974242156168</v>
      </c>
      <c r="P309" s="72">
        <v>1.6737226277372299</v>
      </c>
      <c r="Q309" s="77">
        <v>0.828882461732531</v>
      </c>
    </row>
    <row r="310" spans="10:17" ht="14.25">
      <c r="J310" s="72">
        <v>15.195069667738499</v>
      </c>
      <c r="K310" s="72">
        <v>125.667983827021</v>
      </c>
      <c r="L310" s="72">
        <v>-55.011271518156498</v>
      </c>
      <c r="M310" s="72">
        <v>136.00583570931701</v>
      </c>
      <c r="N310" s="72">
        <v>0</v>
      </c>
      <c r="O310" s="72">
        <v>1.5515607137588201</v>
      </c>
      <c r="P310" s="72">
        <v>1.67919708029197</v>
      </c>
      <c r="Q310" s="77">
        <v>0.82739606785948705</v>
      </c>
    </row>
    <row r="311" spans="10:17" ht="14.25">
      <c r="J311" s="72">
        <v>15.2513397642015</v>
      </c>
      <c r="K311" s="72">
        <v>125.57864506185901</v>
      </c>
      <c r="L311" s="72">
        <v>-54.774791038766303</v>
      </c>
      <c r="M311" s="72">
        <v>135.76935522992599</v>
      </c>
      <c r="N311" s="72">
        <v>1.0715759131165101E-3</v>
      </c>
      <c r="O311" s="72">
        <v>1.5504576920183599</v>
      </c>
      <c r="P311" s="72">
        <v>1.67627737226277</v>
      </c>
      <c r="Q311" s="77">
        <v>0.82375759845773699</v>
      </c>
    </row>
    <row r="312" spans="10:17" ht="14.25">
      <c r="J312" s="72">
        <v>15.3001071811361</v>
      </c>
      <c r="K312" s="72">
        <v>125.755436497985</v>
      </c>
      <c r="L312" s="72">
        <v>-54.508750499452198</v>
      </c>
      <c r="M312" s="72">
        <v>135.503314690612</v>
      </c>
      <c r="N312" s="72">
        <v>5.3578795655825396E-4</v>
      </c>
      <c r="O312" s="72">
        <v>1.5526404488229899</v>
      </c>
      <c r="P312" s="72">
        <v>1.6729927007299299</v>
      </c>
      <c r="Q312" s="77">
        <v>0.82228745276672199</v>
      </c>
    </row>
    <row r="313" spans="10:17" ht="14.25">
      <c r="J313" s="72">
        <v>15.349410503751299</v>
      </c>
      <c r="K313" s="72">
        <v>125.429702410335</v>
      </c>
      <c r="L313" s="72">
        <v>-54.272270020062003</v>
      </c>
      <c r="M313" s="72">
        <v>135.266834211222</v>
      </c>
      <c r="N313" s="72">
        <v>1.0715759131165101E-3</v>
      </c>
      <c r="O313" s="72">
        <v>1.54861877044366</v>
      </c>
      <c r="P313" s="72">
        <v>1.6700729927007301</v>
      </c>
      <c r="Q313" s="77">
        <v>0.81752408336478899</v>
      </c>
    </row>
    <row r="314" spans="10:17" ht="14.25">
      <c r="J314" s="72">
        <v>15.399785637727801</v>
      </c>
      <c r="K314" s="72">
        <v>125.961199408703</v>
      </c>
      <c r="L314" s="72">
        <v>-54.301830079985798</v>
      </c>
      <c r="M314" s="72">
        <v>135.296394271146</v>
      </c>
      <c r="N314" s="72">
        <v>5.3578795655825396E-4</v>
      </c>
      <c r="O314" s="72">
        <v>1.5551809021580101</v>
      </c>
      <c r="P314" s="72">
        <v>1.6704379562043801</v>
      </c>
      <c r="Q314" s="77">
        <v>0.81830116006507203</v>
      </c>
    </row>
    <row r="315" spans="10:17" ht="14.25">
      <c r="J315" s="72">
        <v>15.4539121114684</v>
      </c>
      <c r="K315" s="72">
        <v>125.664973277339</v>
      </c>
      <c r="L315" s="72">
        <v>-54.124469720443102</v>
      </c>
      <c r="M315" s="72">
        <v>135.119033911603</v>
      </c>
      <c r="N315" s="72">
        <v>0</v>
      </c>
      <c r="O315" s="72">
        <v>1.55152354398438</v>
      </c>
      <c r="P315" s="72">
        <v>1.66824817518248</v>
      </c>
      <c r="Q315" s="77">
        <v>0.81351826956747297</v>
      </c>
    </row>
    <row r="316" spans="10:17" ht="14.25">
      <c r="J316" s="72">
        <v>15.4967845659164</v>
      </c>
      <c r="K316" s="72">
        <v>125.72359942857901</v>
      </c>
      <c r="L316" s="72">
        <v>-54.124469720443102</v>
      </c>
      <c r="M316" s="72">
        <v>135.119033911603</v>
      </c>
      <c r="N316" s="72">
        <v>5.3578795655825396E-4</v>
      </c>
      <c r="O316" s="72">
        <v>1.55224737220452</v>
      </c>
      <c r="P316" s="72">
        <v>1.66824817518248</v>
      </c>
      <c r="Q316" s="77">
        <v>0.81164595149353702</v>
      </c>
    </row>
    <row r="317" spans="10:17" ht="14.25">
      <c r="J317" s="72">
        <v>15.5460878885316</v>
      </c>
      <c r="K317" s="72">
        <v>125.811713186283</v>
      </c>
      <c r="L317" s="72">
        <v>-54.272270020062003</v>
      </c>
      <c r="M317" s="72">
        <v>135.266834211222</v>
      </c>
      <c r="N317" s="72">
        <v>5.3578795655825396E-4</v>
      </c>
      <c r="O317" s="72">
        <v>1.55333526938113</v>
      </c>
      <c r="P317" s="72">
        <v>1.6700729927007301</v>
      </c>
      <c r="Q317" s="77">
        <v>0.80963866408791296</v>
      </c>
    </row>
    <row r="318" spans="10:17" ht="14.25">
      <c r="J318" s="72">
        <v>15.600214362272199</v>
      </c>
      <c r="K318" s="72">
        <v>125.574612896484</v>
      </c>
      <c r="L318" s="72">
        <v>-53.799309061281498</v>
      </c>
      <c r="M318" s="72">
        <v>134.79387325244201</v>
      </c>
      <c r="N318" s="72">
        <v>1.0715759131165101E-3</v>
      </c>
      <c r="O318" s="72">
        <v>1.55040790885803</v>
      </c>
      <c r="P318" s="72">
        <v>1.66423357664234</v>
      </c>
      <c r="Q318" s="77">
        <v>0.80530969056852297</v>
      </c>
    </row>
    <row r="319" spans="10:17" ht="14.25">
      <c r="J319" s="72">
        <v>15.650589496248701</v>
      </c>
      <c r="K319" s="72">
        <v>126.283479383247</v>
      </c>
      <c r="L319" s="72">
        <v>-55.040831578080301</v>
      </c>
      <c r="M319" s="72">
        <v>136.03539576924001</v>
      </c>
      <c r="N319" s="72">
        <v>0</v>
      </c>
      <c r="O319" s="72">
        <v>1.5591599343037099</v>
      </c>
      <c r="P319" s="72">
        <v>1.67956204379562</v>
      </c>
      <c r="Q319" s="77">
        <v>0.80724693805230896</v>
      </c>
    </row>
    <row r="320" spans="10:17" ht="14.25">
      <c r="J320" s="72">
        <v>15.697213290460899</v>
      </c>
      <c r="K320" s="72">
        <v>125.839547982355</v>
      </c>
      <c r="L320" s="72">
        <v>-53.651508761662598</v>
      </c>
      <c r="M320" s="72">
        <v>134.646072952823</v>
      </c>
      <c r="N320" s="72">
        <v>5.3578795655825396E-4</v>
      </c>
      <c r="O320" s="72">
        <v>1.55367893190157</v>
      </c>
      <c r="P320" s="72">
        <v>1.6624087591240899</v>
      </c>
      <c r="Q320" s="77">
        <v>0.80202116621055097</v>
      </c>
    </row>
    <row r="321" spans="10:17" ht="14.25">
      <c r="J321" s="72">
        <v>15.7475884244373</v>
      </c>
      <c r="K321" s="72">
        <v>125.83897656155</v>
      </c>
      <c r="L321" s="72">
        <v>-53.355908162424797</v>
      </c>
      <c r="M321" s="72">
        <v>134.35047235358499</v>
      </c>
      <c r="N321" s="72">
        <v>5.3578795655825396E-4</v>
      </c>
      <c r="O321" s="72">
        <v>1.55367187685027</v>
      </c>
      <c r="P321" s="72">
        <v>1.6587591240875901</v>
      </c>
      <c r="Q321" s="77">
        <v>0.79945194324828905</v>
      </c>
    </row>
    <row r="322" spans="10:17" ht="14.25">
      <c r="J322" s="72">
        <v>15.8006430868167</v>
      </c>
      <c r="K322" s="72">
        <v>126.459137986882</v>
      </c>
      <c r="L322" s="72">
        <v>-54.567870619299804</v>
      </c>
      <c r="M322" s="72">
        <v>135.56243481045999</v>
      </c>
      <c r="N322" s="72">
        <v>1.0715759131165101E-3</v>
      </c>
      <c r="O322" s="72">
        <v>1.5613287045834201</v>
      </c>
      <c r="P322" s="72">
        <v>1.6737226277372299</v>
      </c>
      <c r="Q322" s="77">
        <v>0.80069249336311399</v>
      </c>
    </row>
    <row r="323" spans="10:17" ht="14.25">
      <c r="J323" s="72">
        <v>15.847802786709501</v>
      </c>
      <c r="K323" s="72">
        <v>126.340366269645</v>
      </c>
      <c r="L323" s="72">
        <v>-54.3905102597571</v>
      </c>
      <c r="M323" s="72">
        <v>135.38507445091699</v>
      </c>
      <c r="N323" s="72">
        <v>5.3578795655825396E-4</v>
      </c>
      <c r="O323" s="72">
        <v>1.5598622886773099</v>
      </c>
      <c r="P323" s="72">
        <v>1.6715328467153301</v>
      </c>
      <c r="Q323" s="77">
        <v>0.79756035005686099</v>
      </c>
    </row>
    <row r="324" spans="10:17" ht="14.25">
      <c r="J324" s="72">
        <v>15.899249732047201</v>
      </c>
      <c r="K324" s="72">
        <v>125.955507529695</v>
      </c>
      <c r="L324" s="72">
        <v>-53.5332685219675</v>
      </c>
      <c r="M324" s="72">
        <v>134.52783271312799</v>
      </c>
      <c r="N324" s="72">
        <v>0</v>
      </c>
      <c r="O324" s="72">
        <v>1.55511062733074</v>
      </c>
      <c r="P324" s="72">
        <v>1.6609489051094899</v>
      </c>
      <c r="Q324" s="77">
        <v>0.79255898715811501</v>
      </c>
    </row>
    <row r="325" spans="10:17" ht="14.25">
      <c r="J325" s="72">
        <v>15.9539121114684</v>
      </c>
      <c r="K325" s="72">
        <v>126.309616260734</v>
      </c>
      <c r="L325" s="72">
        <v>-53.947109360900399</v>
      </c>
      <c r="M325" s="72">
        <v>134.94167355206</v>
      </c>
      <c r="N325" s="72">
        <v>1.0715759131165101E-3</v>
      </c>
      <c r="O325" s="72">
        <v>1.55948263345949</v>
      </c>
      <c r="P325" s="72">
        <v>1.66605839416058</v>
      </c>
      <c r="Q325" s="77">
        <v>0.79206304065229405</v>
      </c>
    </row>
    <row r="326" spans="10:17" ht="14.25">
      <c r="J326" s="72">
        <v>15.9978563772776</v>
      </c>
      <c r="K326" s="72">
        <v>126.190885596116</v>
      </c>
      <c r="L326" s="72">
        <v>-54.006229480747898</v>
      </c>
      <c r="M326" s="72">
        <v>135.00079367190801</v>
      </c>
      <c r="N326" s="72">
        <v>0</v>
      </c>
      <c r="O326" s="72">
        <v>1.5580167244098699</v>
      </c>
      <c r="P326" s="72">
        <v>1.66678832116788</v>
      </c>
      <c r="Q326" s="77">
        <v>0.78914516877264795</v>
      </c>
    </row>
    <row r="327" spans="10:17" ht="14.25">
      <c r="J327" s="72">
        <v>16.048767416934599</v>
      </c>
      <c r="K327" s="72">
        <v>126.190319165555</v>
      </c>
      <c r="L327" s="72">
        <v>-53.415028282272303</v>
      </c>
      <c r="M327" s="72">
        <v>134.40959247343201</v>
      </c>
      <c r="N327" s="72">
        <v>5.3578795655825396E-4</v>
      </c>
      <c r="O327" s="72">
        <v>1.55800973097065</v>
      </c>
      <c r="P327" s="72">
        <v>1.6594890510948901</v>
      </c>
      <c r="Q327" s="77">
        <v>0.78663825699597001</v>
      </c>
    </row>
    <row r="328" spans="10:17" ht="14.25">
      <c r="J328" s="72">
        <v>16.100214362272201</v>
      </c>
      <c r="K328" s="72">
        <v>126.189748675033</v>
      </c>
      <c r="L328" s="72">
        <v>-53.0307475032632</v>
      </c>
      <c r="M328" s="72">
        <v>134.02531169442301</v>
      </c>
      <c r="N328" s="72">
        <v>5.3578795655825396E-4</v>
      </c>
      <c r="O328" s="72">
        <v>1.5580026874051101</v>
      </c>
      <c r="P328" s="72">
        <v>1.65474452554745</v>
      </c>
      <c r="Q328" s="77">
        <v>0.78412107408470999</v>
      </c>
    </row>
    <row r="329" spans="10:17" ht="14.25">
      <c r="J329" s="72">
        <v>16.150053590568099</v>
      </c>
      <c r="K329" s="72">
        <v>126.159637776132</v>
      </c>
      <c r="L329" s="72">
        <v>-53.474148402119901</v>
      </c>
      <c r="M329" s="72">
        <v>134.46871259328</v>
      </c>
      <c r="N329" s="72">
        <v>1.0715759131165101E-3</v>
      </c>
      <c r="O329" s="72">
        <v>1.5576309229638501</v>
      </c>
      <c r="P329" s="72">
        <v>1.6602189781021901</v>
      </c>
      <c r="Q329" s="77">
        <v>0.78151482396442795</v>
      </c>
    </row>
    <row r="330" spans="10:17" ht="14.25">
      <c r="J330" s="72">
        <v>16.193997856377301</v>
      </c>
      <c r="K330" s="72">
        <v>126.366073998514</v>
      </c>
      <c r="L330" s="72">
        <v>-53.296788042577198</v>
      </c>
      <c r="M330" s="72">
        <v>134.291352233737</v>
      </c>
      <c r="N330" s="72">
        <v>5.3578795655825396E-4</v>
      </c>
      <c r="O330" s="72">
        <v>1.5601796893464399</v>
      </c>
      <c r="P330" s="72">
        <v>1.6580291970802901</v>
      </c>
      <c r="Q330" s="77">
        <v>0.78066886405746905</v>
      </c>
    </row>
    <row r="331" spans="10:17" ht="14.25">
      <c r="J331" s="72">
        <v>16.2475884244373</v>
      </c>
      <c r="K331" s="72">
        <v>126.27680522285</v>
      </c>
      <c r="L331" s="72">
        <v>-53.148987742958298</v>
      </c>
      <c r="M331" s="72">
        <v>134.14355193411799</v>
      </c>
      <c r="N331" s="72">
        <v>1.0715759131165101E-3</v>
      </c>
      <c r="O331" s="72">
        <v>1.5590775317318399</v>
      </c>
      <c r="P331" s="72">
        <v>1.65620437956204</v>
      </c>
      <c r="Q331" s="77">
        <v>0.77754450097465599</v>
      </c>
    </row>
    <row r="332" spans="10:17" ht="14.25">
      <c r="J332" s="72">
        <v>16.295284030010698</v>
      </c>
      <c r="K332" s="72">
        <v>126.54232365709601</v>
      </c>
      <c r="L332" s="72">
        <v>-53.503708462043697</v>
      </c>
      <c r="M332" s="72">
        <v>134.498272653204</v>
      </c>
      <c r="N332" s="72">
        <v>0</v>
      </c>
      <c r="O332" s="72">
        <v>1.56235575709051</v>
      </c>
      <c r="P332" s="72">
        <v>1.6605839416058401</v>
      </c>
      <c r="Q332" s="77">
        <v>0.77689808005984995</v>
      </c>
    </row>
    <row r="333" spans="10:17" ht="14.25">
      <c r="J333" s="72">
        <v>16.345659163987101</v>
      </c>
      <c r="K333" s="72">
        <v>126.305293525699</v>
      </c>
      <c r="L333" s="72">
        <v>-52.942067323491798</v>
      </c>
      <c r="M333" s="72">
        <v>133.93663151465199</v>
      </c>
      <c r="N333" s="72">
        <v>0</v>
      </c>
      <c r="O333" s="72">
        <v>1.5594292627786499</v>
      </c>
      <c r="P333" s="72">
        <v>1.6536496350365</v>
      </c>
      <c r="Q333" s="77">
        <v>0.77305367357992405</v>
      </c>
    </row>
    <row r="334" spans="10:17" ht="14.25">
      <c r="J334" s="72">
        <v>16.397106109324799</v>
      </c>
      <c r="K334" s="72">
        <v>126.62989473063701</v>
      </c>
      <c r="L334" s="72">
        <v>-53.415028282272303</v>
      </c>
      <c r="M334" s="72">
        <v>134.40959247343201</v>
      </c>
      <c r="N334" s="72">
        <v>5.3578795655825396E-4</v>
      </c>
      <c r="O334" s="72">
        <v>1.56343695401299</v>
      </c>
      <c r="P334" s="72">
        <v>1.6594890510948901</v>
      </c>
      <c r="Q334" s="77">
        <v>0.77260779431652304</v>
      </c>
    </row>
    <row r="335" spans="10:17" ht="14.25">
      <c r="J335" s="72">
        <v>16.445873526259401</v>
      </c>
      <c r="K335" s="72">
        <v>126.68848630011399</v>
      </c>
      <c r="L335" s="72">
        <v>-52.942067323491798</v>
      </c>
      <c r="M335" s="72">
        <v>133.93663151465199</v>
      </c>
      <c r="N335" s="72">
        <v>1.0715759131165101E-3</v>
      </c>
      <c r="O335" s="72">
        <v>1.5641603552691401</v>
      </c>
      <c r="P335" s="72">
        <v>1.6536496350365</v>
      </c>
      <c r="Q335" s="77">
        <v>0.77067302755367195</v>
      </c>
    </row>
    <row r="336" spans="10:17" ht="14.25">
      <c r="J336" s="72">
        <v>16.4935691318328</v>
      </c>
      <c r="K336" s="72">
        <v>126.89489144786999</v>
      </c>
      <c r="L336" s="72">
        <v>-53.267227982653402</v>
      </c>
      <c r="M336" s="72">
        <v>134.26179217381301</v>
      </c>
      <c r="N336" s="72">
        <v>1.0715759131165101E-3</v>
      </c>
      <c r="O336" s="72">
        <v>1.56670873798861</v>
      </c>
      <c r="P336" s="72">
        <v>1.6576642335766401</v>
      </c>
      <c r="Q336" s="77">
        <v>0.76969584657823498</v>
      </c>
    </row>
    <row r="337" spans="10:17" ht="14.25">
      <c r="J337" s="72">
        <v>16.545551982850998</v>
      </c>
      <c r="K337" s="72">
        <v>126.74653143194401</v>
      </c>
      <c r="L337" s="72">
        <v>-53.119427683034502</v>
      </c>
      <c r="M337" s="72">
        <v>134.11399187419499</v>
      </c>
      <c r="N337" s="72">
        <v>5.3578795655825396E-4</v>
      </c>
      <c r="O337" s="72">
        <v>1.5648770099287399</v>
      </c>
      <c r="P337" s="72">
        <v>1.65583941605839</v>
      </c>
      <c r="Q337" s="77">
        <v>0.76638093836777299</v>
      </c>
    </row>
    <row r="338" spans="10:17" ht="14.25">
      <c r="J338" s="72">
        <v>16.596463022508001</v>
      </c>
      <c r="K338" s="72">
        <v>126.745985148686</v>
      </c>
      <c r="L338" s="72">
        <v>-52.794267023872898</v>
      </c>
      <c r="M338" s="72">
        <v>133.78883121503301</v>
      </c>
      <c r="N338" s="72">
        <v>5.3578795655825396E-4</v>
      </c>
      <c r="O338" s="72">
        <v>1.5648702652383599</v>
      </c>
      <c r="P338" s="72">
        <v>1.6518248175182499</v>
      </c>
      <c r="Q338" s="77">
        <v>0.76402670911914095</v>
      </c>
    </row>
    <row r="339" spans="10:17" ht="14.25">
      <c r="J339" s="72">
        <v>16.643086816720299</v>
      </c>
      <c r="K339" s="72">
        <v>126.834166690869</v>
      </c>
      <c r="L339" s="72">
        <v>-52.409986244863802</v>
      </c>
      <c r="M339" s="72">
        <v>133.40455043602401</v>
      </c>
      <c r="N339" s="72">
        <v>0</v>
      </c>
      <c r="O339" s="72">
        <v>1.5659589993165499</v>
      </c>
      <c r="P339" s="72">
        <v>1.6470802919708001</v>
      </c>
      <c r="Q339" s="77">
        <v>0.76241621040964902</v>
      </c>
    </row>
    <row r="340" spans="10:17" ht="14.25">
      <c r="J340" s="72">
        <v>16.695605573419101</v>
      </c>
      <c r="K340" s="72">
        <v>126.804046828319</v>
      </c>
      <c r="L340" s="72">
        <v>-52.794267023872898</v>
      </c>
      <c r="M340" s="72">
        <v>133.78883121503301</v>
      </c>
      <c r="N340" s="72">
        <v>5.3578795655825396E-4</v>
      </c>
      <c r="O340" s="72">
        <v>1.5655871242055299</v>
      </c>
      <c r="P340" s="72">
        <v>1.6518248175182499</v>
      </c>
      <c r="Q340" s="77">
        <v>0.75983749965109104</v>
      </c>
    </row>
    <row r="341" spans="10:17" ht="14.25">
      <c r="J341" s="72">
        <v>16.7459807073955</v>
      </c>
      <c r="K341" s="72">
        <v>126.626151387821</v>
      </c>
      <c r="L341" s="72">
        <v>-52.6760267841778</v>
      </c>
      <c r="M341" s="72">
        <v>133.670590975338</v>
      </c>
      <c r="N341" s="72">
        <v>0</v>
      </c>
      <c r="O341" s="72">
        <v>1.5633907368025699</v>
      </c>
      <c r="P341" s="72">
        <v>1.6503649635036499</v>
      </c>
      <c r="Q341" s="77">
        <v>0.75648944492233605</v>
      </c>
    </row>
    <row r="342" spans="10:17" ht="14.25">
      <c r="J342" s="72">
        <v>16.790996784565898</v>
      </c>
      <c r="K342" s="72">
        <v>127.42379639967</v>
      </c>
      <c r="L342" s="72">
        <v>-53.208107862805903</v>
      </c>
      <c r="M342" s="72">
        <v>134.20267205396601</v>
      </c>
      <c r="N342" s="72">
        <v>5.3578795655825396E-4</v>
      </c>
      <c r="O342" s="72">
        <v>1.5732388669803801</v>
      </c>
      <c r="P342" s="72">
        <v>1.65693430656934</v>
      </c>
      <c r="Q342" s="77">
        <v>0.759211755845279</v>
      </c>
    </row>
    <row r="343" spans="10:17" ht="14.25">
      <c r="J343" s="72">
        <v>16.845659163987101</v>
      </c>
      <c r="K343" s="72">
        <v>127.157179092842</v>
      </c>
      <c r="L343" s="72">
        <v>-53.0307475032632</v>
      </c>
      <c r="M343" s="72">
        <v>134.02531169442301</v>
      </c>
      <c r="N343" s="72">
        <v>5.3578795655825396E-4</v>
      </c>
      <c r="O343" s="72">
        <v>1.5699470743830499</v>
      </c>
      <c r="P343" s="72">
        <v>1.65474452554745</v>
      </c>
      <c r="Q343" s="77">
        <v>0.75516548783769599</v>
      </c>
    </row>
    <row r="344" spans="10:17" ht="14.25">
      <c r="J344" s="72">
        <v>16.895498392282999</v>
      </c>
      <c r="K344" s="72">
        <v>127.27489533788599</v>
      </c>
      <c r="L344" s="72">
        <v>-53.3854682223485</v>
      </c>
      <c r="M344" s="72">
        <v>134.38003241350901</v>
      </c>
      <c r="N344" s="72">
        <v>5.3578795655825396E-4</v>
      </c>
      <c r="O344" s="72">
        <v>1.57140045889372</v>
      </c>
      <c r="P344" s="72">
        <v>1.6591240875912401</v>
      </c>
      <c r="Q344" s="77">
        <v>0.75363459244505704</v>
      </c>
    </row>
    <row r="345" spans="10:17" ht="14.25">
      <c r="J345" s="72">
        <v>16.941586280814601</v>
      </c>
      <c r="K345" s="72">
        <v>127.156172141214</v>
      </c>
      <c r="L345" s="72">
        <v>-52.823827083796701</v>
      </c>
      <c r="M345" s="72">
        <v>133.81839127495701</v>
      </c>
      <c r="N345" s="72">
        <v>1.0715759131165101E-3</v>
      </c>
      <c r="O345" s="72">
        <v>1.5699346420471501</v>
      </c>
      <c r="P345" s="72">
        <v>1.6521897810219</v>
      </c>
      <c r="Q345" s="77">
        <v>0.75088362532870401</v>
      </c>
    </row>
    <row r="346" spans="10:17" ht="14.25">
      <c r="J346" s="72">
        <v>16.9951768488746</v>
      </c>
      <c r="K346" s="72">
        <v>127.06693231342</v>
      </c>
      <c r="L346" s="72">
        <v>-53.089867623110798</v>
      </c>
      <c r="M346" s="72">
        <v>134.084431814271</v>
      </c>
      <c r="N346" s="72">
        <v>1.0715759131165101E-3</v>
      </c>
      <c r="O346" s="72">
        <v>1.56883284183766</v>
      </c>
      <c r="P346" s="72">
        <v>1.65547445255474</v>
      </c>
      <c r="Q346" s="77">
        <v>0.74799078912906602</v>
      </c>
    </row>
    <row r="347" spans="10:17" ht="14.25">
      <c r="J347" s="72">
        <v>17.047695605573399</v>
      </c>
      <c r="K347" s="72">
        <v>127.450666650646</v>
      </c>
      <c r="L347" s="72">
        <v>-53.0307475032632</v>
      </c>
      <c r="M347" s="72">
        <v>134.02531169442301</v>
      </c>
      <c r="N347" s="72">
        <v>5.3578795655825396E-4</v>
      </c>
      <c r="O347" s="72">
        <v>1.57357062073749</v>
      </c>
      <c r="P347" s="72">
        <v>1.65474452554745</v>
      </c>
      <c r="Q347" s="77">
        <v>0.74793740287876298</v>
      </c>
    </row>
    <row r="348" spans="10:17" ht="14.25">
      <c r="J348" s="72">
        <v>17.095927116827401</v>
      </c>
      <c r="K348" s="72">
        <v>127.18412603258901</v>
      </c>
      <c r="L348" s="72">
        <v>-52.380426184939999</v>
      </c>
      <c r="M348" s="72">
        <v>133.37499037609999</v>
      </c>
      <c r="N348" s="72">
        <v>5.3578795655825396E-4</v>
      </c>
      <c r="O348" s="72">
        <v>1.5702797749786499</v>
      </c>
      <c r="P348" s="72">
        <v>1.6467153284671501</v>
      </c>
      <c r="Q348" s="77">
        <v>0.744268212396066</v>
      </c>
    </row>
    <row r="349" spans="10:17" ht="14.25">
      <c r="J349" s="72">
        <v>17.145766345123299</v>
      </c>
      <c r="K349" s="72">
        <v>127.360971409917</v>
      </c>
      <c r="L349" s="72">
        <v>-52.350866125016204</v>
      </c>
      <c r="M349" s="72">
        <v>133.34543031617599</v>
      </c>
      <c r="N349" s="72">
        <v>1.0715759131165101E-3</v>
      </c>
      <c r="O349" s="72">
        <v>1.57246319776874</v>
      </c>
      <c r="P349" s="72">
        <v>1.6463503649635001</v>
      </c>
      <c r="Q349" s="77">
        <v>0.74313620025806104</v>
      </c>
    </row>
    <row r="350" spans="10:17" ht="14.25">
      <c r="J350" s="72">
        <v>17.196141479099701</v>
      </c>
      <c r="K350" s="72">
        <v>127.41957283392701</v>
      </c>
      <c r="L350" s="72">
        <v>-52.646466724253997</v>
      </c>
      <c r="M350" s="72">
        <v>133.64103091541401</v>
      </c>
      <c r="N350" s="72">
        <v>5.3578795655825396E-4</v>
      </c>
      <c r="O350" s="72">
        <v>1.57318672069396</v>
      </c>
      <c r="P350" s="72">
        <v>1.65</v>
      </c>
      <c r="Q350" s="77">
        <v>0.74130000675569196</v>
      </c>
    </row>
    <row r="351" spans="10:17" ht="14.25">
      <c r="J351" s="72">
        <v>17.2433011789925</v>
      </c>
      <c r="K351" s="72">
        <v>127.626009327554</v>
      </c>
      <c r="L351" s="72">
        <v>-52.823827083796701</v>
      </c>
      <c r="M351" s="72">
        <v>133.81839127495701</v>
      </c>
      <c r="N351" s="72">
        <v>5.3578795655825396E-4</v>
      </c>
      <c r="O351" s="72">
        <v>1.5757354904254599</v>
      </c>
      <c r="P351" s="72">
        <v>1.6521897810219</v>
      </c>
      <c r="Q351" s="77">
        <v>0.74046978078342196</v>
      </c>
    </row>
    <row r="352" spans="10:17" ht="14.25">
      <c r="J352" s="72">
        <v>17.295284030010698</v>
      </c>
      <c r="K352" s="72">
        <v>127.743718010892</v>
      </c>
      <c r="L352" s="72">
        <v>-52.705586844101603</v>
      </c>
      <c r="M352" s="72">
        <v>133.700151035262</v>
      </c>
      <c r="N352" s="72">
        <v>1.0715759131165101E-3</v>
      </c>
      <c r="O352" s="72">
        <v>1.5771887815754699</v>
      </c>
      <c r="P352" s="72">
        <v>1.6507299270072999</v>
      </c>
      <c r="Q352" s="77">
        <v>0.73892480112782399</v>
      </c>
    </row>
    <row r="353" spans="10:17" ht="14.25">
      <c r="J353" s="72">
        <v>17.345123258306501</v>
      </c>
      <c r="K353" s="72">
        <v>127.595409908131</v>
      </c>
      <c r="L353" s="72">
        <v>-52.350866125016204</v>
      </c>
      <c r="M353" s="72">
        <v>133.34543031617599</v>
      </c>
      <c r="N353" s="72">
        <v>5.3578795655825396E-4</v>
      </c>
      <c r="O353" s="72">
        <v>1.5753576944618799</v>
      </c>
      <c r="P353" s="72">
        <v>1.6463503649635001</v>
      </c>
      <c r="Q353" s="77">
        <v>0.73594654312621399</v>
      </c>
    </row>
    <row r="354" spans="10:17" ht="14.25">
      <c r="J354" s="72">
        <v>17.391747052518799</v>
      </c>
      <c r="K354" s="72">
        <v>127.53581637145</v>
      </c>
      <c r="L354" s="72">
        <v>-51.966585346007101</v>
      </c>
      <c r="M354" s="72">
        <v>132.96114953716699</v>
      </c>
      <c r="N354" s="72">
        <v>1.0715759131165101E-3</v>
      </c>
      <c r="O354" s="72">
        <v>1.5746219224100699</v>
      </c>
      <c r="P354" s="72">
        <v>1.64160583941606</v>
      </c>
      <c r="Q354" s="77">
        <v>0.73363096357435198</v>
      </c>
    </row>
    <row r="355" spans="10:17" ht="14.25">
      <c r="J355" s="72">
        <v>17.440514469453401</v>
      </c>
      <c r="K355" s="72">
        <v>127.59444298881</v>
      </c>
      <c r="L355" s="72">
        <v>-52.291746005168598</v>
      </c>
      <c r="M355" s="72">
        <v>133.286310196329</v>
      </c>
      <c r="N355" s="72">
        <v>1.0715759131165101E-3</v>
      </c>
      <c r="O355" s="72">
        <v>1.57534575638517</v>
      </c>
      <c r="P355" s="72">
        <v>1.6456204379562001</v>
      </c>
      <c r="Q355" s="77">
        <v>0.73191572602254795</v>
      </c>
    </row>
    <row r="356" spans="10:17" ht="14.25">
      <c r="J356" s="72">
        <v>17.4941050375134</v>
      </c>
      <c r="K356" s="72">
        <v>128.21466391851899</v>
      </c>
      <c r="L356" s="72">
        <v>-52.912507263568102</v>
      </c>
      <c r="M356" s="72">
        <v>133.907071454728</v>
      </c>
      <c r="N356" s="72">
        <v>5.3578795655825396E-4</v>
      </c>
      <c r="O356" s="72">
        <v>1.58300331878955</v>
      </c>
      <c r="P356" s="72">
        <v>1.65328467153285</v>
      </c>
      <c r="Q356" s="77">
        <v>0.73321892577997605</v>
      </c>
    </row>
    <row r="357" spans="10:17" ht="14.25">
      <c r="J357" s="72">
        <v>17.541264737406198</v>
      </c>
      <c r="K357" s="72">
        <v>127.91858954657</v>
      </c>
      <c r="L357" s="72">
        <v>-52.232625885321099</v>
      </c>
      <c r="M357" s="72">
        <v>133.22719007648101</v>
      </c>
      <c r="N357" s="72">
        <v>0</v>
      </c>
      <c r="O357" s="72">
        <v>1.5793478343146901</v>
      </c>
      <c r="P357" s="72">
        <v>1.64489051094891</v>
      </c>
      <c r="Q357" s="77">
        <v>0.72955979272136995</v>
      </c>
    </row>
    <row r="358" spans="10:17" ht="14.25">
      <c r="J358" s="72">
        <v>17.595927116827401</v>
      </c>
      <c r="K358" s="72">
        <v>128.33188325064901</v>
      </c>
      <c r="L358" s="72">
        <v>-53.355908162424797</v>
      </c>
      <c r="M358" s="72">
        <v>134.35047235358499</v>
      </c>
      <c r="N358" s="72">
        <v>5.3578795655825396E-4</v>
      </c>
      <c r="O358" s="72">
        <v>1.58445056816115</v>
      </c>
      <c r="P358" s="72">
        <v>1.6587591240875901</v>
      </c>
      <c r="Q358" s="77">
        <v>0.72964219225610205</v>
      </c>
    </row>
    <row r="359" spans="10:17" ht="14.25">
      <c r="J359" s="72">
        <v>17.640943193997899</v>
      </c>
      <c r="K359" s="72">
        <v>128.242754110313</v>
      </c>
      <c r="L359" s="72">
        <v>-52.823827083796701</v>
      </c>
      <c r="M359" s="72">
        <v>133.81839127495701</v>
      </c>
      <c r="N359" s="72">
        <v>1.0715759131165101E-3</v>
      </c>
      <c r="O359" s="72">
        <v>1.5833501345551999</v>
      </c>
      <c r="P359" s="72">
        <v>1.6521897810219</v>
      </c>
      <c r="Q359" s="77">
        <v>0.727275054467167</v>
      </c>
    </row>
    <row r="360" spans="10:17" ht="14.25">
      <c r="J360" s="72">
        <v>17.692390139335501</v>
      </c>
      <c r="K360" s="72">
        <v>127.976202266111</v>
      </c>
      <c r="L360" s="72">
        <v>-52.291746005168598</v>
      </c>
      <c r="M360" s="72">
        <v>133.286310196329</v>
      </c>
      <c r="N360" s="72">
        <v>5.3578795655825396E-4</v>
      </c>
      <c r="O360" s="72">
        <v>1.5800591501926899</v>
      </c>
      <c r="P360" s="72">
        <v>1.6456204379562001</v>
      </c>
      <c r="Q360" s="77">
        <v>0.72365365205131804</v>
      </c>
    </row>
    <row r="361" spans="10:17" ht="14.25">
      <c r="J361" s="72">
        <v>17.7443729903537</v>
      </c>
      <c r="K361" s="72">
        <v>128.566888776019</v>
      </c>
      <c r="L361" s="72">
        <v>-52.557786544482703</v>
      </c>
      <c r="M361" s="72">
        <v>133.55235073564299</v>
      </c>
      <c r="N361" s="72">
        <v>0</v>
      </c>
      <c r="O361" s="72">
        <v>1.58735206565938</v>
      </c>
      <c r="P361" s="72">
        <v>1.6489051094890499</v>
      </c>
      <c r="Q361" s="77">
        <v>0.72486254633116098</v>
      </c>
    </row>
    <row r="362" spans="10:17" ht="14.25">
      <c r="J362" s="72">
        <v>17.792604501607698</v>
      </c>
      <c r="K362" s="72">
        <v>128.625533095984</v>
      </c>
      <c r="L362" s="72">
        <v>-52.971627383415601</v>
      </c>
      <c r="M362" s="72">
        <v>133.96619157457599</v>
      </c>
      <c r="N362" s="72">
        <v>0</v>
      </c>
      <c r="O362" s="72">
        <v>1.58807611819982</v>
      </c>
      <c r="P362" s="72">
        <v>1.65401459854015</v>
      </c>
      <c r="Q362" s="77">
        <v>0.72322721609820095</v>
      </c>
    </row>
    <row r="363" spans="10:17" ht="14.25">
      <c r="J363" s="72">
        <v>17.842979635584101</v>
      </c>
      <c r="K363" s="72">
        <v>128.299877284838</v>
      </c>
      <c r="L363" s="72">
        <v>-52.912507263568102</v>
      </c>
      <c r="M363" s="72">
        <v>133.907071454728</v>
      </c>
      <c r="N363" s="72">
        <v>1.60736386967476E-3</v>
      </c>
      <c r="O363" s="72">
        <v>1.5840554062619501</v>
      </c>
      <c r="P363" s="72">
        <v>1.65328467153285</v>
      </c>
      <c r="Q363" s="77">
        <v>0.71936024710366597</v>
      </c>
    </row>
    <row r="364" spans="10:17" ht="14.25">
      <c r="J364" s="72">
        <v>17.887459807073999</v>
      </c>
      <c r="K364" s="72">
        <v>128.41768184014299</v>
      </c>
      <c r="L364" s="72">
        <v>-52.646466724253997</v>
      </c>
      <c r="M364" s="72">
        <v>133.64103091541401</v>
      </c>
      <c r="N364" s="72">
        <v>1.60736386967476E-3</v>
      </c>
      <c r="O364" s="72">
        <v>1.5855098810959301</v>
      </c>
      <c r="P364" s="72">
        <v>1.65</v>
      </c>
      <c r="Q364" s="77">
        <v>0.71823002448728002</v>
      </c>
    </row>
    <row r="365" spans="10:17" ht="14.25">
      <c r="J365" s="72">
        <v>17.939442658092201</v>
      </c>
      <c r="K365" s="72">
        <v>128.32849429862401</v>
      </c>
      <c r="L365" s="72">
        <v>-52.557786544482703</v>
      </c>
      <c r="M365" s="72">
        <v>133.55235073564299</v>
      </c>
      <c r="N365" s="72">
        <v>5.3578795655825396E-4</v>
      </c>
      <c r="O365" s="72">
        <v>1.5844087264393201</v>
      </c>
      <c r="P365" s="72">
        <v>1.6489051094890499</v>
      </c>
      <c r="Q365" s="77">
        <v>0.71565166130213798</v>
      </c>
    </row>
    <row r="366" spans="10:17" ht="14.25">
      <c r="J366" s="72">
        <v>17.9930332261522</v>
      </c>
      <c r="K366" s="72">
        <v>128.77137418812299</v>
      </c>
      <c r="L366" s="72">
        <v>-53.208107862805903</v>
      </c>
      <c r="M366" s="72">
        <v>134.20267205396601</v>
      </c>
      <c r="N366" s="72">
        <v>0</v>
      </c>
      <c r="O366" s="72">
        <v>1.5898767463480801</v>
      </c>
      <c r="P366" s="72">
        <v>1.65693430656934</v>
      </c>
      <c r="Q366" s="77">
        <v>0.71598155620162296</v>
      </c>
    </row>
    <row r="367" spans="10:17" ht="14.25">
      <c r="J367" s="72">
        <v>18.042872454447998</v>
      </c>
      <c r="K367" s="72">
        <v>128.59353115219</v>
      </c>
      <c r="L367" s="72">
        <v>-52.498666424635097</v>
      </c>
      <c r="M367" s="72">
        <v>133.493230615795</v>
      </c>
      <c r="N367" s="72">
        <v>5.3578795655825396E-4</v>
      </c>
      <c r="O367" s="72">
        <v>1.5876810059584801</v>
      </c>
      <c r="P367" s="72">
        <v>1.6481751824817501</v>
      </c>
      <c r="Q367" s="77">
        <v>0.71301815489380005</v>
      </c>
    </row>
    <row r="368" spans="10:17" ht="14.25">
      <c r="J368" s="72">
        <v>18.0852090032154</v>
      </c>
      <c r="K368" s="72">
        <v>128.977403325605</v>
      </c>
      <c r="L368" s="72">
        <v>-53.1785478028821</v>
      </c>
      <c r="M368" s="72">
        <v>134.17311199404199</v>
      </c>
      <c r="N368" s="72">
        <v>5.3578795655825396E-4</v>
      </c>
      <c r="O368" s="72">
        <v>1.59242048665387</v>
      </c>
      <c r="P368" s="72">
        <v>1.65656934306569</v>
      </c>
      <c r="Q368" s="77">
        <v>0.71347159114954495</v>
      </c>
    </row>
    <row r="369" spans="10:17" ht="14.25">
      <c r="J369" s="72">
        <v>18.136120042872498</v>
      </c>
      <c r="K369" s="72">
        <v>128.94735361960699</v>
      </c>
      <c r="L369" s="72">
        <v>-53.503708462043697</v>
      </c>
      <c r="M369" s="72">
        <v>134.498272653204</v>
      </c>
      <c r="N369" s="72">
        <v>0</v>
      </c>
      <c r="O369" s="72">
        <v>1.5920494777312599</v>
      </c>
      <c r="P369" s="72">
        <v>1.6605839416058401</v>
      </c>
      <c r="Q369" s="77">
        <v>0.71130307048592001</v>
      </c>
    </row>
    <row r="370" spans="10:17" ht="14.25">
      <c r="J370" s="72">
        <v>18.186495176848901</v>
      </c>
      <c r="K370" s="72">
        <v>128.769510611485</v>
      </c>
      <c r="L370" s="72">
        <v>-53.237667922729699</v>
      </c>
      <c r="M370" s="72">
        <v>134.23223211389001</v>
      </c>
      <c r="N370" s="72">
        <v>1.0715759131165101E-3</v>
      </c>
      <c r="O370" s="72">
        <v>1.5898537376850199</v>
      </c>
      <c r="P370" s="72">
        <v>1.65729927007299</v>
      </c>
      <c r="Q370" s="77">
        <v>0.70835493299354602</v>
      </c>
    </row>
    <row r="371" spans="10:17" ht="14.25">
      <c r="J371" s="72">
        <v>18.2422293676313</v>
      </c>
      <c r="K371" s="72">
        <v>129.21237965270899</v>
      </c>
      <c r="L371" s="72">
        <v>-53.651508761662598</v>
      </c>
      <c r="M371" s="72">
        <v>134.646072952823</v>
      </c>
      <c r="N371" s="72">
        <v>5.3578795655825396E-4</v>
      </c>
      <c r="O371" s="72">
        <v>1.5953216236554699</v>
      </c>
      <c r="P371" s="72">
        <v>1.6624087591240899</v>
      </c>
      <c r="Q371" s="77">
        <v>0.70861845972859405</v>
      </c>
    </row>
    <row r="372" spans="10:17" ht="14.25">
      <c r="J372" s="72">
        <v>18.290460878885298</v>
      </c>
      <c r="K372" s="72">
        <v>128.945880663558</v>
      </c>
      <c r="L372" s="72">
        <v>-53.208107862805903</v>
      </c>
      <c r="M372" s="72">
        <v>134.20267205396601</v>
      </c>
      <c r="N372" s="72">
        <v>0</v>
      </c>
      <c r="O372" s="72">
        <v>1.59203129186825</v>
      </c>
      <c r="P372" s="72">
        <v>1.65693430656934</v>
      </c>
      <c r="Q372" s="77">
        <v>0.70529281153781997</v>
      </c>
    </row>
    <row r="373" spans="10:17" ht="14.25">
      <c r="J373" s="72">
        <v>18.3403001071811</v>
      </c>
      <c r="K373" s="72">
        <v>129.713970255899</v>
      </c>
      <c r="L373" s="72">
        <v>-53.5332685219675</v>
      </c>
      <c r="M373" s="72">
        <v>134.52783271312799</v>
      </c>
      <c r="N373" s="72">
        <v>1.0715759131165101E-3</v>
      </c>
      <c r="O373" s="72">
        <v>1.6015145158353199</v>
      </c>
      <c r="P373" s="72">
        <v>1.6609489051094899</v>
      </c>
      <c r="Q373" s="77">
        <v>0.70756418711733504</v>
      </c>
    </row>
    <row r="374" spans="10:17" ht="14.25">
      <c r="J374" s="72">
        <v>18.389067524115799</v>
      </c>
      <c r="K374" s="72">
        <v>129.122308978832</v>
      </c>
      <c r="L374" s="72">
        <v>-53.592388641814999</v>
      </c>
      <c r="M374" s="72">
        <v>134.58695283297499</v>
      </c>
      <c r="N374" s="72">
        <v>1.0715759131165101E-3</v>
      </c>
      <c r="O374" s="72">
        <v>1.59420956539853</v>
      </c>
      <c r="P374" s="72">
        <v>1.6616788321167899</v>
      </c>
      <c r="Q374" s="77">
        <v>0.70247027981045496</v>
      </c>
    </row>
    <row r="375" spans="10:17" ht="14.25">
      <c r="J375" s="72">
        <v>18.441586280814601</v>
      </c>
      <c r="K375" s="72">
        <v>129.41741603058301</v>
      </c>
      <c r="L375" s="72">
        <v>-53.503708462043697</v>
      </c>
      <c r="M375" s="72">
        <v>134.498272653204</v>
      </c>
      <c r="N375" s="72">
        <v>5.3578795655825396E-4</v>
      </c>
      <c r="O375" s="72">
        <v>1.5978531068472399</v>
      </c>
      <c r="P375" s="72">
        <v>1.6605839416058401</v>
      </c>
      <c r="Q375" s="77">
        <v>0.70206998016019695</v>
      </c>
    </row>
    <row r="376" spans="10:17" ht="14.25">
      <c r="J376" s="72">
        <v>18.4903536977492</v>
      </c>
      <c r="K376" s="72">
        <v>129.29871928129</v>
      </c>
      <c r="L376" s="72">
        <v>-52.942067323491798</v>
      </c>
      <c r="M376" s="72">
        <v>133.93663151465199</v>
      </c>
      <c r="N376" s="72">
        <v>0</v>
      </c>
      <c r="O376" s="72">
        <v>1.5963876165334301</v>
      </c>
      <c r="P376" s="72">
        <v>1.6536496350365</v>
      </c>
      <c r="Q376" s="77">
        <v>0.69957636564514603</v>
      </c>
    </row>
    <row r="377" spans="10:17" ht="14.25">
      <c r="J377" s="72">
        <v>18.532154340836001</v>
      </c>
      <c r="K377" s="72">
        <v>129.564369894371</v>
      </c>
      <c r="L377" s="72">
        <v>-53.3854682223485</v>
      </c>
      <c r="M377" s="72">
        <v>134.38003241350901</v>
      </c>
      <c r="N377" s="72">
        <v>5.3578795655825396E-4</v>
      </c>
      <c r="O377" s="72">
        <v>1.5996674738390899</v>
      </c>
      <c r="P377" s="72">
        <v>1.6591240875912401</v>
      </c>
      <c r="Q377" s="77">
        <v>0.69943187728103495</v>
      </c>
    </row>
    <row r="378" spans="10:17" ht="14.25">
      <c r="J378" s="72">
        <v>18.595391211146801</v>
      </c>
      <c r="K378" s="72">
        <v>129.44554216593701</v>
      </c>
      <c r="L378" s="72">
        <v>-53.296788042577198</v>
      </c>
      <c r="M378" s="72">
        <v>134.291352233737</v>
      </c>
      <c r="N378" s="72">
        <v>5.3578795655825396E-4</v>
      </c>
      <c r="O378" s="72">
        <v>1.5982003663903299</v>
      </c>
      <c r="P378" s="72">
        <v>1.6580291970802901</v>
      </c>
      <c r="Q378" s="77">
        <v>0.69641432012823801</v>
      </c>
    </row>
    <row r="379" spans="10:17" ht="14.25">
      <c r="J379" s="72">
        <v>18.638799571275499</v>
      </c>
      <c r="K379" s="72">
        <v>129.71118110152301</v>
      </c>
      <c r="L379" s="72">
        <v>-53.592388641814999</v>
      </c>
      <c r="M379" s="72">
        <v>134.58695283297499</v>
      </c>
      <c r="N379" s="72">
        <v>1.0715759131165101E-3</v>
      </c>
      <c r="O379" s="72">
        <v>1.6014800795197099</v>
      </c>
      <c r="P379" s="72">
        <v>1.6616788321167899</v>
      </c>
      <c r="Q379" s="77">
        <v>0.69621761700718898</v>
      </c>
    </row>
    <row r="380" spans="10:17" ht="14.25">
      <c r="J380" s="72">
        <v>18.684887459807101</v>
      </c>
      <c r="K380" s="72">
        <v>129.91767661704901</v>
      </c>
      <c r="L380" s="72">
        <v>-54.094909660519299</v>
      </c>
      <c r="M380" s="72">
        <v>135.089473851679</v>
      </c>
      <c r="N380" s="72">
        <v>5.3578795655825396E-4</v>
      </c>
      <c r="O380" s="72">
        <v>1.60402957796553</v>
      </c>
      <c r="P380" s="72">
        <v>1.66788321167883</v>
      </c>
      <c r="Q380" s="77">
        <v>0.69560548335648198</v>
      </c>
    </row>
    <row r="381" spans="10:17" ht="14.25">
      <c r="J381" s="72">
        <v>18.7395498392283</v>
      </c>
      <c r="K381" s="72">
        <v>129.82849447106199</v>
      </c>
      <c r="L381" s="72">
        <v>-53.267227982653402</v>
      </c>
      <c r="M381" s="72">
        <v>134.26179217381301</v>
      </c>
      <c r="N381" s="72">
        <v>1.0715759131165101E-3</v>
      </c>
      <c r="O381" s="72">
        <v>1.6029284899249101</v>
      </c>
      <c r="P381" s="72">
        <v>1.6576642335766401</v>
      </c>
      <c r="Q381" s="77">
        <v>0.69310053175091502</v>
      </c>
    </row>
    <row r="382" spans="10:17" ht="14.25">
      <c r="J382" s="72">
        <v>18.788317256162902</v>
      </c>
      <c r="K382" s="72">
        <v>129.91672864049301</v>
      </c>
      <c r="L382" s="72">
        <v>-53.6810688215864</v>
      </c>
      <c r="M382" s="72">
        <v>134.675633012746</v>
      </c>
      <c r="N382" s="72">
        <v>0</v>
      </c>
      <c r="O382" s="72">
        <v>1.60401787376581</v>
      </c>
      <c r="P382" s="72">
        <v>1.6627737226277399</v>
      </c>
      <c r="Q382" s="77">
        <v>0.69177112553928399</v>
      </c>
    </row>
    <row r="383" spans="10:17" ht="14.25">
      <c r="J383" s="72">
        <v>18.8386923901393</v>
      </c>
      <c r="K383" s="72">
        <v>130.064070030447</v>
      </c>
      <c r="L383" s="72">
        <v>-53.858429181129097</v>
      </c>
      <c r="M383" s="72">
        <v>134.85299337228901</v>
      </c>
      <c r="N383" s="72">
        <v>1.0715759131165101E-3</v>
      </c>
      <c r="O383" s="72">
        <v>1.6058370253524099</v>
      </c>
      <c r="P383" s="72">
        <v>1.66496350364964</v>
      </c>
      <c r="Q383" s="77">
        <v>0.69070343338114004</v>
      </c>
    </row>
    <row r="384" spans="10:17" ht="14.25">
      <c r="J384" s="72">
        <v>18.887459807073999</v>
      </c>
      <c r="K384" s="72">
        <v>130.093187573488</v>
      </c>
      <c r="L384" s="72">
        <v>-53.7401889414339</v>
      </c>
      <c r="M384" s="72">
        <v>134.73475313259399</v>
      </c>
      <c r="N384" s="72">
        <v>5.3578795655825396E-4</v>
      </c>
      <c r="O384" s="72">
        <v>1.6061965253180099</v>
      </c>
      <c r="P384" s="72">
        <v>1.6635036496350399</v>
      </c>
      <c r="Q384" s="77">
        <v>0.68907420063496505</v>
      </c>
    </row>
    <row r="385" spans="10:17" ht="14.25">
      <c r="J385" s="72">
        <v>18.938370846731001</v>
      </c>
      <c r="K385" s="72">
        <v>130.181407618451</v>
      </c>
      <c r="L385" s="72">
        <v>-53.5332685219675</v>
      </c>
      <c r="M385" s="72">
        <v>134.52783271312799</v>
      </c>
      <c r="N385" s="72">
        <v>-5.3578795655825396E-4</v>
      </c>
      <c r="O385" s="72">
        <v>1.6072857347710601</v>
      </c>
      <c r="P385" s="72">
        <v>1.6609489051094899</v>
      </c>
      <c r="Q385" s="77">
        <v>0.68768762521771198</v>
      </c>
    </row>
    <row r="386" spans="10:17" ht="14.25">
      <c r="J386" s="72">
        <v>18.985530546623799</v>
      </c>
      <c r="K386" s="72">
        <v>130.24010317904299</v>
      </c>
      <c r="L386" s="72">
        <v>-53.828869121205301</v>
      </c>
      <c r="M386" s="72">
        <v>134.82343331236501</v>
      </c>
      <c r="N386" s="72">
        <v>5.3578795655825396E-4</v>
      </c>
      <c r="O386" s="72">
        <v>1.6080104199542999</v>
      </c>
      <c r="P386" s="72">
        <v>1.66459854014599</v>
      </c>
      <c r="Q386" s="77">
        <v>0.68628858156703199</v>
      </c>
    </row>
    <row r="387" spans="10:17" ht="14.25">
      <c r="J387" s="72">
        <v>19.035905680600202</v>
      </c>
      <c r="K387" s="72">
        <v>130.210091387696</v>
      </c>
      <c r="L387" s="72">
        <v>-53.503708462043697</v>
      </c>
      <c r="M387" s="72">
        <v>134.498272653204</v>
      </c>
      <c r="N387" s="72">
        <v>0</v>
      </c>
      <c r="O387" s="72">
        <v>1.60763987914522</v>
      </c>
      <c r="P387" s="72">
        <v>1.6605839416058401</v>
      </c>
      <c r="Q387" s="77">
        <v>0.68431478221080499</v>
      </c>
    </row>
    <row r="388" spans="10:17" ht="14.25">
      <c r="J388" s="72">
        <v>19.0868167202572</v>
      </c>
      <c r="K388" s="72">
        <v>130.50523731279401</v>
      </c>
      <c r="L388" s="72">
        <v>-54.272270020062003</v>
      </c>
      <c r="M388" s="72">
        <v>135.266834211222</v>
      </c>
      <c r="N388" s="72">
        <v>0</v>
      </c>
      <c r="O388" s="72">
        <v>1.6112839005440001</v>
      </c>
      <c r="P388" s="72">
        <v>1.6700729927007301</v>
      </c>
      <c r="Q388" s="77">
        <v>0.68403581560346904</v>
      </c>
    </row>
    <row r="389" spans="10:17" ht="14.25">
      <c r="J389" s="72">
        <v>19.140943193997899</v>
      </c>
      <c r="K389" s="72">
        <v>130.209155377104</v>
      </c>
      <c r="L389" s="72">
        <v>-54.094909660519299</v>
      </c>
      <c r="M389" s="72">
        <v>135.089473851679</v>
      </c>
      <c r="N389" s="72">
        <v>5.3578795655825396E-4</v>
      </c>
      <c r="O389" s="72">
        <v>1.6076283226833501</v>
      </c>
      <c r="P389" s="72">
        <v>1.66788321167883</v>
      </c>
      <c r="Q389" s="77">
        <v>0.68055465798732895</v>
      </c>
    </row>
    <row r="390" spans="10:17" ht="14.25">
      <c r="J390" s="72">
        <v>19.187566988210101</v>
      </c>
      <c r="K390" s="72">
        <v>130.799943656062</v>
      </c>
      <c r="L390" s="72">
        <v>-54.331390139909601</v>
      </c>
      <c r="M390" s="72">
        <v>135.32595433106999</v>
      </c>
      <c r="N390" s="72">
        <v>1.0715759131165101E-3</v>
      </c>
      <c r="O390" s="72">
        <v>1.6149224946423899</v>
      </c>
      <c r="P390" s="72">
        <v>1.6708029197080301</v>
      </c>
      <c r="Q390" s="77">
        <v>0.68197999698879896</v>
      </c>
    </row>
    <row r="391" spans="10:17" ht="14.25">
      <c r="J391" s="72">
        <v>19.238478027867099</v>
      </c>
      <c r="K391" s="72">
        <v>130.681254321176</v>
      </c>
      <c r="L391" s="72">
        <v>-54.567870619299804</v>
      </c>
      <c r="M391" s="72">
        <v>135.56243481045999</v>
      </c>
      <c r="N391" s="72">
        <v>5.3578795655825396E-4</v>
      </c>
      <c r="O391" s="72">
        <v>1.61345709587062</v>
      </c>
      <c r="P391" s="72">
        <v>1.6737226277372299</v>
      </c>
      <c r="Q391" s="77">
        <v>0.67955832703688801</v>
      </c>
    </row>
    <row r="392" spans="10:17" ht="14.25">
      <c r="J392" s="72">
        <v>19.288853161843502</v>
      </c>
      <c r="K392" s="72">
        <v>130.94685233594299</v>
      </c>
      <c r="L392" s="72">
        <v>-54.449630379604699</v>
      </c>
      <c r="M392" s="72">
        <v>135.44419457076501</v>
      </c>
      <c r="N392" s="72">
        <v>0</v>
      </c>
      <c r="O392" s="72">
        <v>1.6167363037708</v>
      </c>
      <c r="P392" s="72">
        <v>1.6722627737226301</v>
      </c>
      <c r="Q392" s="77">
        <v>0.679160530432383</v>
      </c>
    </row>
    <row r="393" spans="10:17" ht="14.25">
      <c r="J393" s="72">
        <v>19.3349410503751</v>
      </c>
      <c r="K393" s="72">
        <v>130.68040853988501</v>
      </c>
      <c r="L393" s="72">
        <v>-54.272270020062003</v>
      </c>
      <c r="M393" s="72">
        <v>135.266834211222</v>
      </c>
      <c r="N393" s="72">
        <v>1.0715759131165101E-3</v>
      </c>
      <c r="O393" s="72">
        <v>1.6134466534255101</v>
      </c>
      <c r="P393" s="72">
        <v>1.6700729927007301</v>
      </c>
      <c r="Q393" s="77">
        <v>0.67616360097309802</v>
      </c>
    </row>
    <row r="394" spans="10:17" ht="14.25">
      <c r="J394" s="72">
        <v>19.393890675241199</v>
      </c>
      <c r="K394" s="72">
        <v>131.093735822284</v>
      </c>
      <c r="L394" s="72">
        <v>-54.656550799071098</v>
      </c>
      <c r="M394" s="72">
        <v>135.65111499023101</v>
      </c>
      <c r="N394" s="72">
        <v>5.3578795655825396E-4</v>
      </c>
      <c r="O394" s="72">
        <v>1.6185498018469699</v>
      </c>
      <c r="P394" s="72">
        <v>1.6748175182481699</v>
      </c>
      <c r="Q394" s="77">
        <v>0.676239559822157</v>
      </c>
    </row>
    <row r="395" spans="10:17" ht="14.25">
      <c r="J395" s="72">
        <v>19.442122186495201</v>
      </c>
      <c r="K395" s="72">
        <v>130.886397087804</v>
      </c>
      <c r="L395" s="72">
        <v>-54.360950199833297</v>
      </c>
      <c r="M395" s="72">
        <v>135.35551439099299</v>
      </c>
      <c r="N395" s="72">
        <v>5.3578795655825396E-4</v>
      </c>
      <c r="O395" s="72">
        <v>1.61598989259194</v>
      </c>
      <c r="P395" s="72">
        <v>1.6711678832116801</v>
      </c>
      <c r="Q395" s="77">
        <v>0.67349552144629099</v>
      </c>
    </row>
    <row r="396" spans="10:17" ht="14.25">
      <c r="J396" s="72">
        <v>19.484458735262599</v>
      </c>
      <c r="K396" s="72">
        <v>131.21119194458501</v>
      </c>
      <c r="L396" s="72">
        <v>-54.567870619299804</v>
      </c>
      <c r="M396" s="72">
        <v>135.56243481045999</v>
      </c>
      <c r="N396" s="72">
        <v>5.3578795655825396E-4</v>
      </c>
      <c r="O396" s="72">
        <v>1.6199999747502301</v>
      </c>
      <c r="P396" s="72">
        <v>1.6737226277372299</v>
      </c>
      <c r="Q396" s="77">
        <v>0.67369906878336205</v>
      </c>
    </row>
    <row r="397" spans="10:17" ht="14.25">
      <c r="J397" s="72">
        <v>19.537513397642002</v>
      </c>
      <c r="K397" s="72">
        <v>131.151615242546</v>
      </c>
      <c r="L397" s="72">
        <v>-54.656550799071098</v>
      </c>
      <c r="M397" s="72">
        <v>135.65111499023101</v>
      </c>
      <c r="N397" s="72">
        <v>1.0715759131165101E-3</v>
      </c>
      <c r="O397" s="72">
        <v>1.6192644105474401</v>
      </c>
      <c r="P397" s="72">
        <v>1.6748175182481699</v>
      </c>
      <c r="Q397" s="77">
        <v>0.67156468525180002</v>
      </c>
    </row>
    <row r="398" spans="10:17" ht="14.25">
      <c r="J398" s="72">
        <v>19.5862808145766</v>
      </c>
      <c r="K398" s="72">
        <v>131.29899764944099</v>
      </c>
      <c r="L398" s="72">
        <v>-54.597430679223599</v>
      </c>
      <c r="M398" s="72">
        <v>135.59199487038401</v>
      </c>
      <c r="N398" s="72">
        <v>0</v>
      </c>
      <c r="O398" s="72">
        <v>1.6210840685500101</v>
      </c>
      <c r="P398" s="72">
        <v>1.6740875912408799</v>
      </c>
      <c r="Q398" s="77">
        <v>0.67064504999867403</v>
      </c>
    </row>
    <row r="399" spans="10:17" ht="14.25">
      <c r="J399" s="72">
        <v>19.637191854233699</v>
      </c>
      <c r="K399" s="72">
        <v>131.47592358071401</v>
      </c>
      <c r="L399" s="72">
        <v>-54.774791038766303</v>
      </c>
      <c r="M399" s="72">
        <v>135.76935522992599</v>
      </c>
      <c r="N399" s="72">
        <v>5.3578795655825396E-4</v>
      </c>
      <c r="O399" s="72">
        <v>1.6232684858999999</v>
      </c>
      <c r="P399" s="72">
        <v>1.67627737226277</v>
      </c>
      <c r="Q399" s="77">
        <v>0.66980732107434304</v>
      </c>
    </row>
    <row r="400" spans="10:17" ht="14.25">
      <c r="J400" s="72">
        <v>19.684887459807101</v>
      </c>
      <c r="K400" s="72">
        <v>131.35727804942999</v>
      </c>
      <c r="L400" s="72">
        <v>-54.804351098689999</v>
      </c>
      <c r="M400" s="72">
        <v>135.79891528984999</v>
      </c>
      <c r="N400" s="72">
        <v>5.3578795655825396E-4</v>
      </c>
      <c r="O400" s="72">
        <v>1.6218036279497201</v>
      </c>
      <c r="P400" s="72">
        <v>1.67664233576642</v>
      </c>
      <c r="Q400" s="77">
        <v>0.66758168381763805</v>
      </c>
    </row>
    <row r="401" spans="10:17" ht="14.25">
      <c r="J401" s="72">
        <v>19.733654876741699</v>
      </c>
      <c r="K401" s="72">
        <v>131.563785769151</v>
      </c>
      <c r="L401" s="72">
        <v>-55.129511757851603</v>
      </c>
      <c r="M401" s="72">
        <v>136.124075949012</v>
      </c>
      <c r="N401" s="72">
        <v>5.3578795655825396E-4</v>
      </c>
      <c r="O401" s="72">
        <v>1.62435327707474</v>
      </c>
      <c r="P401" s="72">
        <v>1.68065693430657</v>
      </c>
      <c r="Q401" s="77">
        <v>0.66697837629985202</v>
      </c>
    </row>
    <row r="402" spans="10:17" ht="14.25">
      <c r="J402" s="72">
        <v>19.782422293676301</v>
      </c>
      <c r="K402" s="72">
        <v>131.44513454811499</v>
      </c>
      <c r="L402" s="72">
        <v>-54.7452309788425</v>
      </c>
      <c r="M402" s="72">
        <v>135.73979517000299</v>
      </c>
      <c r="N402" s="72">
        <v>0</v>
      </c>
      <c r="O402" s="72">
        <v>1.6228883488759001</v>
      </c>
      <c r="P402" s="72">
        <v>1.67591240875912</v>
      </c>
      <c r="Q402" s="77">
        <v>0.66473436724939094</v>
      </c>
    </row>
    <row r="403" spans="10:17" ht="14.25">
      <c r="J403" s="72">
        <v>19.8354769560557</v>
      </c>
      <c r="K403" s="72">
        <v>131.65160980765901</v>
      </c>
      <c r="L403" s="72">
        <v>-55.129511757851603</v>
      </c>
      <c r="M403" s="72">
        <v>136.124075949012</v>
      </c>
      <c r="N403" s="72">
        <v>5.3578795655825396E-4</v>
      </c>
      <c r="O403" s="72">
        <v>1.6254375972310899</v>
      </c>
      <c r="P403" s="72">
        <v>1.68065693430657</v>
      </c>
      <c r="Q403" s="77">
        <v>0.66399731759314096</v>
      </c>
    </row>
    <row r="404" spans="10:17" ht="14.25">
      <c r="J404" s="72">
        <v>19.888531618435199</v>
      </c>
      <c r="K404" s="72">
        <v>131.82852704109999</v>
      </c>
      <c r="L404" s="72">
        <v>-55.2477519975468</v>
      </c>
      <c r="M404" s="72">
        <v>136.24231618870701</v>
      </c>
      <c r="N404" s="72">
        <v>1.60736386967476E-3</v>
      </c>
      <c r="O404" s="72">
        <v>1.6276219071932301</v>
      </c>
      <c r="P404" s="72">
        <v>1.6821167883211701</v>
      </c>
      <c r="Q404" s="77">
        <v>0.66311558180198105</v>
      </c>
    </row>
    <row r="405" spans="10:17" ht="14.25">
      <c r="J405" s="72">
        <v>19.933011789925001</v>
      </c>
      <c r="K405" s="72">
        <v>132.03507751814001</v>
      </c>
      <c r="L405" s="72">
        <v>-55.632032776555903</v>
      </c>
      <c r="M405" s="72">
        <v>136.62659696771601</v>
      </c>
      <c r="N405" s="72">
        <v>5.3578795655825396E-4</v>
      </c>
      <c r="O405" s="72">
        <v>1.6301720842218099</v>
      </c>
      <c r="P405" s="72">
        <v>1.6868613138686099</v>
      </c>
      <c r="Q405" s="77">
        <v>0.66267207395754302</v>
      </c>
    </row>
    <row r="406" spans="10:17" ht="14.25">
      <c r="J406" s="72">
        <v>19.989281886388</v>
      </c>
      <c r="K406" s="72">
        <v>131.945931387054</v>
      </c>
      <c r="L406" s="72">
        <v>-55.986753495641302</v>
      </c>
      <c r="M406" s="72">
        <v>136.98131768680099</v>
      </c>
      <c r="N406" s="72">
        <v>0</v>
      </c>
      <c r="O406" s="72">
        <v>1.62907144083942</v>
      </c>
      <c r="P406" s="72">
        <v>1.69124087591241</v>
      </c>
      <c r="Q406" s="77">
        <v>0.66036067353324501</v>
      </c>
    </row>
    <row r="407" spans="10:17" ht="14.25">
      <c r="J407" s="72">
        <v>20.034833869239002</v>
      </c>
      <c r="K407" s="72">
        <v>132.06379610372099</v>
      </c>
      <c r="L407" s="72">
        <v>-55.336432177318102</v>
      </c>
      <c r="M407" s="72">
        <v>136.330996368478</v>
      </c>
      <c r="N407" s="72">
        <v>-5.3578795655825396E-4</v>
      </c>
      <c r="O407" s="72">
        <v>1.63052665845611</v>
      </c>
      <c r="P407" s="72">
        <v>1.6832116788321201</v>
      </c>
      <c r="Q407" s="77">
        <v>0.65944755059302496</v>
      </c>
    </row>
    <row r="408" spans="10:17" ht="14.25">
      <c r="J408" s="72">
        <v>20.0836012861736</v>
      </c>
      <c r="K408" s="72">
        <v>132.15207591471</v>
      </c>
      <c r="L408" s="72">
        <v>-55.129511757851603</v>
      </c>
      <c r="M408" s="72">
        <v>136.124075949012</v>
      </c>
      <c r="N408" s="72">
        <v>-5.3578795655825396E-4</v>
      </c>
      <c r="O408" s="72">
        <v>1.6316166058108601</v>
      </c>
      <c r="P408" s="72">
        <v>1.68065693430657</v>
      </c>
      <c r="Q408" s="77">
        <v>0.65828582804063396</v>
      </c>
    </row>
    <row r="409" spans="10:17" ht="14.25">
      <c r="J409" s="72">
        <v>20.133440514469498</v>
      </c>
      <c r="K409" s="72">
        <v>132.033428282389</v>
      </c>
      <c r="L409" s="72">
        <v>-55.3955522971657</v>
      </c>
      <c r="M409" s="72">
        <v>136.39011648832599</v>
      </c>
      <c r="N409" s="72">
        <v>5.3578795655825396E-4</v>
      </c>
      <c r="O409" s="72">
        <v>1.63015172192011</v>
      </c>
      <c r="P409" s="72">
        <v>1.6839416058394201</v>
      </c>
      <c r="Q409" s="77">
        <v>0.65606697126512703</v>
      </c>
    </row>
    <row r="410" spans="10:17" ht="14.25">
      <c r="J410" s="72">
        <v>20.185423365487701</v>
      </c>
      <c r="K410" s="72">
        <v>132.12168545948899</v>
      </c>
      <c r="L410" s="72">
        <v>-55.218191937622997</v>
      </c>
      <c r="M410" s="72">
        <v>136.21275612878301</v>
      </c>
      <c r="N410" s="72">
        <v>0</v>
      </c>
      <c r="O410" s="72">
        <v>1.6312413898253899</v>
      </c>
      <c r="P410" s="72">
        <v>1.6817518248175201</v>
      </c>
      <c r="Q410" s="77">
        <v>0.65481465599497002</v>
      </c>
    </row>
    <row r="411" spans="10:17" ht="14.25">
      <c r="J411" s="72">
        <v>20.234726688102899</v>
      </c>
      <c r="K411" s="72">
        <v>132.35776654457601</v>
      </c>
      <c r="L411" s="72">
        <v>-55.750273016251001</v>
      </c>
      <c r="M411" s="72">
        <v>136.744837207411</v>
      </c>
      <c r="N411" s="72">
        <v>5.3578795655825396E-4</v>
      </c>
      <c r="O411" s="72">
        <v>1.6341561667297999</v>
      </c>
      <c r="P411" s="72">
        <v>1.68832116788321</v>
      </c>
      <c r="Q411" s="77">
        <v>0.65438586692048895</v>
      </c>
    </row>
    <row r="412" spans="10:17" ht="14.25">
      <c r="J412" s="72">
        <v>20.283494105037501</v>
      </c>
      <c r="K412" s="72">
        <v>132.62341375867501</v>
      </c>
      <c r="L412" s="72">
        <v>-55.632032776555903</v>
      </c>
      <c r="M412" s="72">
        <v>136.62659696771601</v>
      </c>
      <c r="N412" s="72">
        <v>0</v>
      </c>
      <c r="O412" s="72">
        <v>1.6374359820698901</v>
      </c>
      <c r="P412" s="72">
        <v>1.6868613138686099</v>
      </c>
      <c r="Q412" s="77">
        <v>0.65412220490196904</v>
      </c>
    </row>
    <row r="413" spans="10:17" ht="14.25">
      <c r="J413" s="72">
        <v>20.3370846730975</v>
      </c>
      <c r="K413" s="72">
        <v>132.238702735891</v>
      </c>
      <c r="L413" s="72">
        <v>-55.454672417013199</v>
      </c>
      <c r="M413" s="72">
        <v>136.44923660817301</v>
      </c>
      <c r="N413" s="72">
        <v>0</v>
      </c>
      <c r="O413" s="72">
        <v>1.6326861445144201</v>
      </c>
      <c r="P413" s="72">
        <v>1.6846715328467201</v>
      </c>
      <c r="Q413" s="77">
        <v>0.65050684488347599</v>
      </c>
    </row>
    <row r="414" spans="10:17" ht="14.25">
      <c r="J414" s="72">
        <v>20.382636655948598</v>
      </c>
      <c r="K414" s="72">
        <v>132.29745878008899</v>
      </c>
      <c r="L414" s="72">
        <v>-55.3955522971657</v>
      </c>
      <c r="M414" s="72">
        <v>136.39011648832599</v>
      </c>
      <c r="N414" s="72">
        <v>0</v>
      </c>
      <c r="O414" s="72">
        <v>1.6334115764589601</v>
      </c>
      <c r="P414" s="72">
        <v>1.6839416058394201</v>
      </c>
      <c r="Q414" s="77">
        <v>0.64934132971369096</v>
      </c>
    </row>
    <row r="415" spans="10:17" ht="14.25">
      <c r="J415" s="72">
        <v>20.432475884244401</v>
      </c>
      <c r="K415" s="72">
        <v>132.947383474394</v>
      </c>
      <c r="L415" s="72">
        <v>-56.193673915107802</v>
      </c>
      <c r="M415" s="72">
        <v>137.18823810626799</v>
      </c>
      <c r="N415" s="72">
        <v>5.3578795655825396E-4</v>
      </c>
      <c r="O415" s="72">
        <v>1.6414358766178101</v>
      </c>
      <c r="P415" s="72">
        <v>1.6937956204379601</v>
      </c>
      <c r="Q415" s="77">
        <v>0.650938287362965</v>
      </c>
    </row>
    <row r="416" spans="10:17" ht="14.25">
      <c r="J416" s="72">
        <v>20.486066452304399</v>
      </c>
      <c r="K416" s="72">
        <v>132.76959863989899</v>
      </c>
      <c r="L416" s="72">
        <v>-55.9571934357175</v>
      </c>
      <c r="M416" s="72">
        <v>136.95175762687799</v>
      </c>
      <c r="N416" s="72">
        <v>1.60736386967476E-3</v>
      </c>
      <c r="O416" s="72">
        <v>1.6392408548127</v>
      </c>
      <c r="P416" s="72">
        <v>1.69087591240876</v>
      </c>
      <c r="Q416" s="77">
        <v>0.64836763105059203</v>
      </c>
    </row>
    <row r="417" spans="10:17" ht="14.25">
      <c r="J417" s="72">
        <v>20.531618435155401</v>
      </c>
      <c r="K417" s="72">
        <v>132.562319048283</v>
      </c>
      <c r="L417" s="72">
        <v>-55.6024727166321</v>
      </c>
      <c r="M417" s="72">
        <v>136.59703690779199</v>
      </c>
      <c r="N417" s="72">
        <v>0</v>
      </c>
      <c r="O417" s="72">
        <v>1.6366816757654901</v>
      </c>
      <c r="P417" s="72">
        <v>1.6864963503649599</v>
      </c>
      <c r="Q417" s="77">
        <v>0.64591958290811002</v>
      </c>
    </row>
    <row r="418" spans="10:17" ht="14.25">
      <c r="J418" s="72">
        <v>20.583065380493</v>
      </c>
      <c r="K418" s="72">
        <v>133.06443621659801</v>
      </c>
      <c r="L418" s="72">
        <v>-56.311914154802899</v>
      </c>
      <c r="M418" s="72">
        <v>137.306478345963</v>
      </c>
      <c r="N418" s="72">
        <v>-5.3578795655825396E-4</v>
      </c>
      <c r="O418" s="72">
        <v>1.6428810691856399</v>
      </c>
      <c r="P418" s="72">
        <v>1.6952554744525501</v>
      </c>
      <c r="Q418" s="77">
        <v>0.64674458768961995</v>
      </c>
    </row>
    <row r="419" spans="10:17" ht="14.25">
      <c r="J419" s="72">
        <v>20.635584137191898</v>
      </c>
      <c r="K419" s="72">
        <v>133.18226616495801</v>
      </c>
      <c r="L419" s="72">
        <v>-57.080475712821197</v>
      </c>
      <c r="M419" s="72">
        <v>138.07503990398101</v>
      </c>
      <c r="N419" s="72">
        <v>5.3578795655825396E-4</v>
      </c>
      <c r="O419" s="72">
        <v>1.6443358575351701</v>
      </c>
      <c r="P419" s="72">
        <v>1.70474452554745</v>
      </c>
      <c r="Q419" s="77">
        <v>0.64566958895618998</v>
      </c>
    </row>
    <row r="420" spans="10:17" ht="14.25">
      <c r="J420" s="72">
        <v>20.6811361200429</v>
      </c>
      <c r="K420" s="72">
        <v>133.15235185402301</v>
      </c>
      <c r="L420" s="72">
        <v>-56.755315053659601</v>
      </c>
      <c r="M420" s="72">
        <v>137.74987924481999</v>
      </c>
      <c r="N420" s="72">
        <v>5.3578795655825396E-4</v>
      </c>
      <c r="O420" s="72">
        <v>1.6439665202687299</v>
      </c>
      <c r="P420" s="72">
        <v>1.7007299270073</v>
      </c>
      <c r="Q420" s="77">
        <v>0.64410280070292503</v>
      </c>
    </row>
    <row r="421" spans="10:17" ht="14.25">
      <c r="J421" s="72">
        <v>20.732047159699899</v>
      </c>
      <c r="K421" s="72">
        <v>133.12239764072299</v>
      </c>
      <c r="L421" s="72">
        <v>-56.873555293354698</v>
      </c>
      <c r="M421" s="72">
        <v>137.86811948451501</v>
      </c>
      <c r="N421" s="72">
        <v>5.3578795655825396E-4</v>
      </c>
      <c r="O421" s="72">
        <v>1.6435966903474299</v>
      </c>
      <c r="P421" s="72">
        <v>1.7021897810219</v>
      </c>
      <c r="Q421" s="77">
        <v>0.64237661494403098</v>
      </c>
    </row>
    <row r="422" spans="10:17" ht="14.25">
      <c r="J422" s="72">
        <v>20.782958199356901</v>
      </c>
      <c r="K422" s="72">
        <v>132.94464500059601</v>
      </c>
      <c r="L422" s="72">
        <v>-55.750273016251001</v>
      </c>
      <c r="M422" s="72">
        <v>136.744837207411</v>
      </c>
      <c r="N422" s="72">
        <v>0</v>
      </c>
      <c r="O422" s="72">
        <v>1.6414020660303299</v>
      </c>
      <c r="P422" s="72">
        <v>1.68832116788321</v>
      </c>
      <c r="Q422" s="77">
        <v>0.63994773427908302</v>
      </c>
    </row>
    <row r="423" spans="10:17" ht="14.25">
      <c r="J423" s="72">
        <v>20.8338692390139</v>
      </c>
      <c r="K423" s="72">
        <v>133.446775611509</v>
      </c>
      <c r="L423" s="72">
        <v>-56.400594334574201</v>
      </c>
      <c r="M423" s="72">
        <v>137.39515852573399</v>
      </c>
      <c r="N423" s="72">
        <v>1.60736386967476E-3</v>
      </c>
      <c r="O423" s="72">
        <v>1.64760162541962</v>
      </c>
      <c r="P423" s="72">
        <v>1.6963503649634999</v>
      </c>
      <c r="Q423" s="77">
        <v>0.64079408002555405</v>
      </c>
    </row>
    <row r="424" spans="10:17" ht="14.25">
      <c r="J424" s="72">
        <v>20.879421221864899</v>
      </c>
      <c r="K424" s="72">
        <v>133.15082728750099</v>
      </c>
      <c r="L424" s="72">
        <v>-56.016313555565098</v>
      </c>
      <c r="M424" s="72">
        <v>137.01087774672499</v>
      </c>
      <c r="N424" s="72">
        <v>1.0715759131165101E-3</v>
      </c>
      <c r="O424" s="72">
        <v>1.64394769719661</v>
      </c>
      <c r="P424" s="72">
        <v>1.69160583941606</v>
      </c>
      <c r="Q424" s="77">
        <v>0.63797866322254104</v>
      </c>
    </row>
    <row r="425" spans="10:17" ht="14.25">
      <c r="J425" s="72">
        <v>20.933547695605601</v>
      </c>
      <c r="K425" s="72">
        <v>133.209536177659</v>
      </c>
      <c r="L425" s="72">
        <v>-56.016313555565098</v>
      </c>
      <c r="M425" s="72">
        <v>137.01087774672499</v>
      </c>
      <c r="N425" s="72">
        <v>0</v>
      </c>
      <c r="O425" s="72">
        <v>1.64467254695345</v>
      </c>
      <c r="P425" s="72">
        <v>1.69160583941606</v>
      </c>
      <c r="Q425" s="77">
        <v>0.63660953808604503</v>
      </c>
    </row>
    <row r="426" spans="10:17" ht="14.25">
      <c r="J426" s="72">
        <v>20.978027867095399</v>
      </c>
      <c r="K426" s="72">
        <v>133.35700012060801</v>
      </c>
      <c r="L426" s="72">
        <v>-56.784875113583396</v>
      </c>
      <c r="M426" s="72">
        <v>137.77943930474299</v>
      </c>
      <c r="N426" s="72">
        <v>5.3578795655825396E-4</v>
      </c>
      <c r="O426" s="72">
        <v>1.6464932116415101</v>
      </c>
      <c r="P426" s="72">
        <v>1.70109489051095</v>
      </c>
      <c r="Q426" s="77">
        <v>0.63596266569092497</v>
      </c>
    </row>
    <row r="427" spans="10:17" ht="14.25">
      <c r="J427" s="72">
        <v>21.030546623794201</v>
      </c>
      <c r="K427" s="72">
        <v>133.65220541624601</v>
      </c>
      <c r="L427" s="72">
        <v>-57.198715952516302</v>
      </c>
      <c r="M427" s="72">
        <v>138.19328014367599</v>
      </c>
      <c r="N427" s="72">
        <v>5.3578795655825396E-4</v>
      </c>
      <c r="O427" s="72">
        <v>1.65013796605912</v>
      </c>
      <c r="P427" s="72">
        <v>1.7062043795620401</v>
      </c>
      <c r="Q427" s="77">
        <v>0.63577819882876596</v>
      </c>
    </row>
    <row r="428" spans="10:17" ht="14.25">
      <c r="J428" s="72">
        <v>21.077706323687</v>
      </c>
      <c r="K428" s="72">
        <v>133.47449178848001</v>
      </c>
      <c r="L428" s="72">
        <v>-56.696194933812002</v>
      </c>
      <c r="M428" s="72">
        <v>137.690759124972</v>
      </c>
      <c r="N428" s="72">
        <v>5.3578795655825396E-4</v>
      </c>
      <c r="O428" s="72">
        <v>1.64794382340843</v>
      </c>
      <c r="P428" s="72">
        <v>1.7</v>
      </c>
      <c r="Q428" s="77">
        <v>0.63351255990684796</v>
      </c>
    </row>
    <row r="429" spans="10:17" ht="14.25">
      <c r="J429" s="72">
        <v>21.130760986066502</v>
      </c>
      <c r="K429" s="72">
        <v>133.29673592301799</v>
      </c>
      <c r="L429" s="72">
        <v>-56.518834574269299</v>
      </c>
      <c r="M429" s="72">
        <v>137.513398765429</v>
      </c>
      <c r="N429" s="72">
        <v>5.3578795655825396E-4</v>
      </c>
      <c r="O429" s="72">
        <v>1.64574915926971</v>
      </c>
      <c r="P429" s="72">
        <v>1.6978102189780999</v>
      </c>
      <c r="Q429" s="77">
        <v>0.63108073165612499</v>
      </c>
    </row>
    <row r="430" spans="10:17" ht="14.25">
      <c r="J430" s="72">
        <v>21.1757770632369</v>
      </c>
      <c r="K430" s="72">
        <v>133.41464217686701</v>
      </c>
      <c r="L430" s="72">
        <v>-56.341474214726702</v>
      </c>
      <c r="M430" s="72">
        <v>137.336038405887</v>
      </c>
      <c r="N430" s="72">
        <v>5.3578795655825396E-4</v>
      </c>
      <c r="O430" s="72">
        <v>1.64720488972553</v>
      </c>
      <c r="P430" s="72">
        <v>1.6956204379562001</v>
      </c>
      <c r="Q430" s="77">
        <v>0.63029595981599595</v>
      </c>
    </row>
    <row r="431" spans="10:17" ht="14.25">
      <c r="J431" s="72">
        <v>21.233118971061099</v>
      </c>
      <c r="K431" s="72">
        <v>133.562019162593</v>
      </c>
      <c r="L431" s="72">
        <v>-56.282354094879103</v>
      </c>
      <c r="M431" s="72">
        <v>137.27691828603901</v>
      </c>
      <c r="N431" s="72">
        <v>0</v>
      </c>
      <c r="O431" s="72">
        <v>1.6490244807955901</v>
      </c>
      <c r="P431" s="72">
        <v>1.6948905109489101</v>
      </c>
      <c r="Q431" s="77">
        <v>0.62928788020760695</v>
      </c>
    </row>
    <row r="432" spans="10:17" ht="14.25">
      <c r="J432" s="72">
        <v>21.275991425509101</v>
      </c>
      <c r="K432" s="72">
        <v>134.152905416886</v>
      </c>
      <c r="L432" s="72">
        <v>-57.169155892592499</v>
      </c>
      <c r="M432" s="72">
        <v>138.16372008375299</v>
      </c>
      <c r="N432" s="72">
        <v>1.0715759131165101E-3</v>
      </c>
      <c r="O432" s="72">
        <v>1.6563198624078499</v>
      </c>
      <c r="P432" s="72">
        <v>1.7058394160583901</v>
      </c>
      <c r="Q432" s="77">
        <v>0.63079707001729801</v>
      </c>
    </row>
    <row r="433" spans="10:17" ht="14.25">
      <c r="J433" s="72">
        <v>21.3311897106109</v>
      </c>
      <c r="K433" s="72">
        <v>134.06382170217299</v>
      </c>
      <c r="L433" s="72">
        <v>-57.110035772745</v>
      </c>
      <c r="M433" s="72">
        <v>138.104599963905</v>
      </c>
      <c r="N433" s="72">
        <v>5.3578795655825396E-4</v>
      </c>
      <c r="O433" s="72">
        <v>1.65521998964969</v>
      </c>
      <c r="P433" s="72">
        <v>1.7051094890510901</v>
      </c>
      <c r="Q433" s="77">
        <v>0.62874714741210402</v>
      </c>
    </row>
    <row r="434" spans="10:17" ht="14.25">
      <c r="J434" s="72">
        <v>21.382100750267998</v>
      </c>
      <c r="K434" s="72">
        <v>134.03389140147499</v>
      </c>
      <c r="L434" s="72">
        <v>-57.257836072363901</v>
      </c>
      <c r="M434" s="72">
        <v>138.25240026352401</v>
      </c>
      <c r="N434" s="72">
        <v>1.0715759131165101E-3</v>
      </c>
      <c r="O434" s="72">
        <v>1.6548504549655101</v>
      </c>
      <c r="P434" s="72">
        <v>1.7069343065693401</v>
      </c>
      <c r="Q434" s="77">
        <v>0.62711011457633103</v>
      </c>
    </row>
    <row r="435" spans="10:17" ht="14.25">
      <c r="J435" s="72">
        <v>21.433011789925001</v>
      </c>
      <c r="K435" s="72">
        <v>134.033523033492</v>
      </c>
      <c r="L435" s="72">
        <v>-56.400594334574201</v>
      </c>
      <c r="M435" s="72">
        <v>137.39515852573399</v>
      </c>
      <c r="N435" s="72">
        <v>5.3578795655825396E-4</v>
      </c>
      <c r="O435" s="72">
        <v>1.6548459069074299</v>
      </c>
      <c r="P435" s="72">
        <v>1.6963503649634999</v>
      </c>
      <c r="Q435" s="77">
        <v>0.62561878591827602</v>
      </c>
    </row>
    <row r="436" spans="10:17" ht="14.25">
      <c r="J436" s="72">
        <v>21.476420150053599</v>
      </c>
      <c r="K436" s="72">
        <v>134.210570790003</v>
      </c>
      <c r="L436" s="72">
        <v>-57.376076312058998</v>
      </c>
      <c r="M436" s="72">
        <v>138.37064050321899</v>
      </c>
      <c r="N436" s="72">
        <v>5.3578795655825396E-4</v>
      </c>
      <c r="O436" s="72">
        <v>1.6570318283736301</v>
      </c>
      <c r="P436" s="72">
        <v>1.7083941605839399</v>
      </c>
      <c r="Q436" s="77">
        <v>0.62517866089533303</v>
      </c>
    </row>
    <row r="437" spans="10:17" ht="14.25">
      <c r="J437" s="72">
        <v>21.529474812433001</v>
      </c>
      <c r="K437" s="72">
        <v>134.23975062848399</v>
      </c>
      <c r="L437" s="72">
        <v>-57.050915652897402</v>
      </c>
      <c r="M437" s="72">
        <v>138.04547984405701</v>
      </c>
      <c r="N437" s="72">
        <v>5.3578795655825396E-4</v>
      </c>
      <c r="O437" s="72">
        <v>1.65739209747035</v>
      </c>
      <c r="P437" s="72">
        <v>1.7043795620438</v>
      </c>
      <c r="Q437" s="77">
        <v>0.62377357975907</v>
      </c>
    </row>
    <row r="438" spans="10:17" ht="14.25">
      <c r="J438" s="72">
        <v>21.58038585209</v>
      </c>
      <c r="K438" s="72">
        <v>134.20982762181899</v>
      </c>
      <c r="L438" s="72">
        <v>-56.962235473126</v>
      </c>
      <c r="M438" s="72">
        <v>137.956799664286</v>
      </c>
      <c r="N438" s="72">
        <v>5.3578795655825396E-4</v>
      </c>
      <c r="O438" s="72">
        <v>1.65702265284201</v>
      </c>
      <c r="P438" s="72">
        <v>1.70328467153285</v>
      </c>
      <c r="Q438" s="77">
        <v>0.622163355439598</v>
      </c>
    </row>
    <row r="439" spans="10:17" ht="14.25">
      <c r="J439" s="72">
        <v>21.631832797427698</v>
      </c>
      <c r="K439" s="72">
        <v>134.32770299674701</v>
      </c>
      <c r="L439" s="72">
        <v>-57.376076312058998</v>
      </c>
      <c r="M439" s="72">
        <v>138.37064050321899</v>
      </c>
      <c r="N439" s="72">
        <v>1.0715759131165101E-3</v>
      </c>
      <c r="O439" s="72">
        <v>1.6584780020509999</v>
      </c>
      <c r="P439" s="72">
        <v>1.7083941605839399</v>
      </c>
      <c r="Q439" s="77">
        <v>0.62122858181986396</v>
      </c>
    </row>
    <row r="440" spans="10:17" ht="14.25">
      <c r="J440" s="72">
        <v>21.682207931404101</v>
      </c>
      <c r="K440" s="72">
        <v>134.41602776617901</v>
      </c>
      <c r="L440" s="72">
        <v>-57.553436671601702</v>
      </c>
      <c r="M440" s="72">
        <v>138.548000862762</v>
      </c>
      <c r="N440" s="72">
        <v>0</v>
      </c>
      <c r="O440" s="72">
        <v>1.65956850448551</v>
      </c>
      <c r="P440" s="72">
        <v>1.7105839416058399</v>
      </c>
      <c r="Q440" s="77">
        <v>0.62019261739377995</v>
      </c>
    </row>
    <row r="441" spans="10:17" ht="14.25">
      <c r="J441" s="72">
        <v>21.728831725616299</v>
      </c>
      <c r="K441" s="72">
        <v>134.71130105564899</v>
      </c>
      <c r="L441" s="72">
        <v>-57.937717450610798</v>
      </c>
      <c r="M441" s="72">
        <v>138.932281641771</v>
      </c>
      <c r="N441" s="72">
        <v>1.60736386967476E-3</v>
      </c>
      <c r="O441" s="72">
        <v>1.6632140983894701</v>
      </c>
      <c r="P441" s="72">
        <v>1.71532846715328</v>
      </c>
      <c r="Q441" s="77">
        <v>0.62022076414319205</v>
      </c>
    </row>
    <row r="442" spans="10:17" ht="14.25">
      <c r="J442" s="72">
        <v>21.778135048231501</v>
      </c>
      <c r="K442" s="72">
        <v>134.888317003167</v>
      </c>
      <c r="L442" s="72">
        <v>-57.908157390687101</v>
      </c>
      <c r="M442" s="72">
        <v>138.902721581847</v>
      </c>
      <c r="N442" s="72">
        <v>1.0715759131165101E-3</v>
      </c>
      <c r="O442" s="72">
        <v>1.6653996271257101</v>
      </c>
      <c r="P442" s="72">
        <v>1.71496350364964</v>
      </c>
      <c r="Q442" s="77">
        <v>0.61962946697073695</v>
      </c>
    </row>
    <row r="443" spans="10:17" ht="14.25">
      <c r="J443" s="72">
        <v>21.8311897106109</v>
      </c>
      <c r="K443" s="72">
        <v>134.85838828787499</v>
      </c>
      <c r="L443" s="72">
        <v>-58.32199822962</v>
      </c>
      <c r="M443" s="72">
        <v>139.31656242078</v>
      </c>
      <c r="N443" s="72">
        <v>1.0715759131165101E-3</v>
      </c>
      <c r="O443" s="72">
        <v>1.66503011201576</v>
      </c>
      <c r="P443" s="72">
        <v>1.7200729927007301</v>
      </c>
      <c r="Q443" s="77">
        <v>0.61798653755758504</v>
      </c>
    </row>
    <row r="444" spans="10:17" ht="14.25">
      <c r="J444" s="72">
        <v>21.881564844587398</v>
      </c>
      <c r="K444" s="72">
        <v>134.82848007387901</v>
      </c>
      <c r="L444" s="72">
        <v>-57.642116851372997</v>
      </c>
      <c r="M444" s="72">
        <v>138.63668104253301</v>
      </c>
      <c r="N444" s="72">
        <v>1.0715759131165101E-3</v>
      </c>
      <c r="O444" s="72">
        <v>1.66466085002522</v>
      </c>
      <c r="P444" s="72">
        <v>1.71167883211679</v>
      </c>
      <c r="Q444" s="77">
        <v>0.61642714378172603</v>
      </c>
    </row>
    <row r="445" spans="10:17" ht="14.25">
      <c r="J445" s="72">
        <v>21.9297963558414</v>
      </c>
      <c r="K445" s="72">
        <v>135.00550881261199</v>
      </c>
      <c r="L445" s="72">
        <v>-58.5289186490864</v>
      </c>
      <c r="M445" s="72">
        <v>139.523482840246</v>
      </c>
      <c r="N445" s="72">
        <v>0</v>
      </c>
      <c r="O445" s="72">
        <v>1.6668465366882901</v>
      </c>
      <c r="P445" s="72">
        <v>1.7226277372262799</v>
      </c>
      <c r="Q445" s="77">
        <v>0.61587865082474302</v>
      </c>
    </row>
    <row r="446" spans="10:17" ht="14.25">
      <c r="J446" s="72">
        <v>21.975884244372999</v>
      </c>
      <c r="K446" s="72">
        <v>135.12343374064901</v>
      </c>
      <c r="L446" s="72">
        <v>-58.735839068552899</v>
      </c>
      <c r="M446" s="72">
        <v>139.730403259713</v>
      </c>
      <c r="N446" s="72">
        <v>5.3578795655825396E-4</v>
      </c>
      <c r="O446" s="72">
        <v>1.66830249770511</v>
      </c>
      <c r="P446" s="72">
        <v>1.72518248175182</v>
      </c>
      <c r="Q446" s="77">
        <v>0.61512363893898403</v>
      </c>
    </row>
    <row r="447" spans="10:17" ht="14.25">
      <c r="J447" s="72">
        <v>22.027867095391201</v>
      </c>
      <c r="K447" s="72">
        <v>134.91615952073201</v>
      </c>
      <c r="L447" s="72">
        <v>-57.730797031144398</v>
      </c>
      <c r="M447" s="72">
        <v>138.725361222304</v>
      </c>
      <c r="N447" s="72">
        <v>0</v>
      </c>
      <c r="O447" s="72">
        <v>1.6657433849796199</v>
      </c>
      <c r="P447" s="72">
        <v>1.71277372262774</v>
      </c>
      <c r="Q447" s="77">
        <v>0.61273106492152696</v>
      </c>
    </row>
    <row r="448" spans="10:17" ht="14.25">
      <c r="J448" s="72">
        <v>22.075026795284</v>
      </c>
      <c r="K448" s="72">
        <v>135.27056095535801</v>
      </c>
      <c r="L448" s="72">
        <v>-58.085517750229698</v>
      </c>
      <c r="M448" s="72">
        <v>139.08008194139001</v>
      </c>
      <c r="N448" s="72">
        <v>5.3578795655825396E-4</v>
      </c>
      <c r="O448" s="72">
        <v>1.67011900497542</v>
      </c>
      <c r="P448" s="72">
        <v>1.7171532846715301</v>
      </c>
      <c r="Q448" s="77">
        <v>0.61302750534656203</v>
      </c>
    </row>
    <row r="449" spans="10:17" ht="14.25">
      <c r="J449" s="72">
        <v>22.125937834941102</v>
      </c>
      <c r="K449" s="72">
        <v>135.41801837668399</v>
      </c>
      <c r="L449" s="72">
        <v>-58.647158888781597</v>
      </c>
      <c r="M449" s="72">
        <v>139.64172307994201</v>
      </c>
      <c r="N449" s="72">
        <v>5.3578795655825396E-4</v>
      </c>
      <c r="O449" s="72">
        <v>1.6719395891442299</v>
      </c>
      <c r="P449" s="72">
        <v>1.72408759124088</v>
      </c>
      <c r="Q449" s="77">
        <v>0.612283395622232</v>
      </c>
    </row>
    <row r="450" spans="10:17" ht="14.25">
      <c r="J450" s="72">
        <v>22.1763129689175</v>
      </c>
      <c r="K450" s="72">
        <v>134.88559987233401</v>
      </c>
      <c r="L450" s="72">
        <v>-57.642116851372997</v>
      </c>
      <c r="M450" s="72">
        <v>138.63668104253301</v>
      </c>
      <c r="N450" s="72">
        <v>1.0715759131165101E-3</v>
      </c>
      <c r="O450" s="72">
        <v>1.66536608004931</v>
      </c>
      <c r="P450" s="72">
        <v>1.71167883211679</v>
      </c>
      <c r="Q450" s="77">
        <v>0.60849170542382802</v>
      </c>
    </row>
    <row r="451" spans="10:17" ht="14.25">
      <c r="J451" s="72">
        <v>22.230439442658099</v>
      </c>
      <c r="K451" s="72">
        <v>134.973919542408</v>
      </c>
      <c r="L451" s="72">
        <v>-58.144637870077297</v>
      </c>
      <c r="M451" s="72">
        <v>139.139202061237</v>
      </c>
      <c r="N451" s="72">
        <v>0</v>
      </c>
      <c r="O451" s="72">
        <v>1.66645651952454</v>
      </c>
      <c r="P451" s="72">
        <v>1.7178832116788301</v>
      </c>
      <c r="Q451" s="77">
        <v>0.60740744690658799</v>
      </c>
    </row>
    <row r="452" spans="10:17" ht="14.25">
      <c r="J452" s="72">
        <v>22.280278670953901</v>
      </c>
      <c r="K452" s="72">
        <v>135.50567053852299</v>
      </c>
      <c r="L452" s="72">
        <v>-58.617598828857801</v>
      </c>
      <c r="M452" s="72">
        <v>139.61216302001799</v>
      </c>
      <c r="N452" s="72">
        <v>1.0715759131165101E-3</v>
      </c>
      <c r="O452" s="72">
        <v>1.6730217872240001</v>
      </c>
      <c r="P452" s="72">
        <v>1.72372262773723</v>
      </c>
      <c r="Q452" s="77">
        <v>0.60843536857376501</v>
      </c>
    </row>
    <row r="453" spans="10:17" ht="14.25">
      <c r="J453" s="72">
        <v>22.3258306538049</v>
      </c>
      <c r="K453" s="72">
        <v>135.41669024026001</v>
      </c>
      <c r="L453" s="72">
        <v>-58.499358589162703</v>
      </c>
      <c r="M453" s="72">
        <v>139.493922780323</v>
      </c>
      <c r="N453" s="72">
        <v>-5.3578795655825396E-4</v>
      </c>
      <c r="O453" s="72">
        <v>1.6719231912978101</v>
      </c>
      <c r="P453" s="72">
        <v>1.7222627737226299</v>
      </c>
      <c r="Q453" s="77">
        <v>0.60679540866054404</v>
      </c>
    </row>
    <row r="454" spans="10:17" ht="14.25">
      <c r="J454" s="72">
        <v>22.379421221865002</v>
      </c>
      <c r="K454" s="72">
        <v>135.56413937878199</v>
      </c>
      <c r="L454" s="72">
        <v>-58.913199428095602</v>
      </c>
      <c r="M454" s="72">
        <v>139.907763619256</v>
      </c>
      <c r="N454" s="72">
        <v>1.0715759131165101E-3</v>
      </c>
      <c r="O454" s="72">
        <v>1.6737436732029201</v>
      </c>
      <c r="P454" s="72">
        <v>1.72737226277372</v>
      </c>
      <c r="Q454" s="77">
        <v>0.60600121489574998</v>
      </c>
    </row>
    <row r="455" spans="10:17" ht="14.25">
      <c r="J455" s="72">
        <v>22.427652733119</v>
      </c>
      <c r="K455" s="72">
        <v>135.859425707257</v>
      </c>
      <c r="L455" s="72">
        <v>-59.0314396677907</v>
      </c>
      <c r="M455" s="72">
        <v>140.02600385895099</v>
      </c>
      <c r="N455" s="72">
        <v>1.0715759131165101E-3</v>
      </c>
      <c r="O455" s="72">
        <v>1.6773894280930699</v>
      </c>
      <c r="P455" s="72">
        <v>1.7288321167883201</v>
      </c>
      <c r="Q455" s="77">
        <v>0.60601460365448001</v>
      </c>
    </row>
    <row r="456" spans="10:17" ht="14.25">
      <c r="J456" s="72">
        <v>22.481243301178999</v>
      </c>
      <c r="K456" s="72">
        <v>135.563477889643</v>
      </c>
      <c r="L456" s="72">
        <v>-58.647158888781597</v>
      </c>
      <c r="M456" s="72">
        <v>139.64172307994201</v>
      </c>
      <c r="N456" s="72">
        <v>0</v>
      </c>
      <c r="O456" s="72">
        <v>1.6737355061222601</v>
      </c>
      <c r="P456" s="72">
        <v>1.72408759124088</v>
      </c>
      <c r="Q456" s="77">
        <v>0.60325357092189003</v>
      </c>
    </row>
    <row r="457" spans="10:17" ht="14.25">
      <c r="J457" s="72">
        <v>22.522508038585201</v>
      </c>
      <c r="K457" s="72">
        <v>135.62233206542899</v>
      </c>
      <c r="L457" s="72">
        <v>-58.617598828857801</v>
      </c>
      <c r="M457" s="72">
        <v>139.61216302001799</v>
      </c>
      <c r="N457" s="72">
        <v>5.3578795655825396E-4</v>
      </c>
      <c r="O457" s="72">
        <v>1.67446214964919</v>
      </c>
      <c r="P457" s="72">
        <v>1.72372262773723</v>
      </c>
      <c r="Q457" s="77">
        <v>0.60240962927106301</v>
      </c>
    </row>
    <row r="458" spans="10:17" ht="14.25">
      <c r="J458" s="72">
        <v>22.5760986066452</v>
      </c>
      <c r="K458" s="72">
        <v>135.65154857993301</v>
      </c>
      <c r="L458" s="72">
        <v>-58.233318049848599</v>
      </c>
      <c r="M458" s="72">
        <v>139.22788224100901</v>
      </c>
      <c r="N458" s="72">
        <v>0</v>
      </c>
      <c r="O458" s="72">
        <v>1.6748228715667099</v>
      </c>
      <c r="P458" s="72">
        <v>1.7189781021897801</v>
      </c>
      <c r="Q458" s="77">
        <v>0.60110905810955795</v>
      </c>
    </row>
    <row r="459" spans="10:17" ht="14.25">
      <c r="J459" s="72">
        <v>22.624866023579902</v>
      </c>
      <c r="K459" s="72">
        <v>135.97639841614199</v>
      </c>
      <c r="L459" s="72">
        <v>-59.267920147181002</v>
      </c>
      <c r="M459" s="72">
        <v>140.26248433834101</v>
      </c>
      <c r="N459" s="72">
        <v>1.0715759131165101E-3</v>
      </c>
      <c r="O459" s="72">
        <v>1.6788336325289199</v>
      </c>
      <c r="P459" s="72">
        <v>1.7317518248175201</v>
      </c>
      <c r="Q459" s="77">
        <v>0.60124918921829396</v>
      </c>
    </row>
    <row r="460" spans="10:17" ht="14.25">
      <c r="J460" s="72">
        <v>22.6800643086817</v>
      </c>
      <c r="K460" s="72">
        <v>135.73956819940599</v>
      </c>
      <c r="L460" s="72">
        <v>-58.647158888781597</v>
      </c>
      <c r="M460" s="72">
        <v>139.64172307994201</v>
      </c>
      <c r="N460" s="72">
        <v>5.3578795655825396E-4</v>
      </c>
      <c r="O460" s="72">
        <v>1.6759096064649299</v>
      </c>
      <c r="P460" s="72">
        <v>1.72408759124088</v>
      </c>
      <c r="Q460" s="77">
        <v>0.59874165903392895</v>
      </c>
    </row>
    <row r="461" spans="10:17" ht="14.25">
      <c r="J461" s="72">
        <v>22.727759914255099</v>
      </c>
      <c r="K461" s="72">
        <v>135.79838789200099</v>
      </c>
      <c r="L461" s="72">
        <v>-59.001879607866996</v>
      </c>
      <c r="M461" s="72">
        <v>139.99644379902699</v>
      </c>
      <c r="N461" s="72">
        <v>5.3578795655825396E-4</v>
      </c>
      <c r="O461" s="72">
        <v>1.67663582424489</v>
      </c>
      <c r="P461" s="72">
        <v>1.72846715328467</v>
      </c>
      <c r="Q461" s="77">
        <v>0.59774396384374595</v>
      </c>
    </row>
    <row r="462" spans="10:17" ht="14.25">
      <c r="J462" s="72">
        <v>22.775455519828501</v>
      </c>
      <c r="K462" s="72">
        <v>136.00500952791501</v>
      </c>
      <c r="L462" s="72">
        <v>-59.120119847562101</v>
      </c>
      <c r="M462" s="72">
        <v>140.114684038722</v>
      </c>
      <c r="N462" s="72">
        <v>1.0715759131165101E-3</v>
      </c>
      <c r="O462" s="72">
        <v>1.67918687983705</v>
      </c>
      <c r="P462" s="72">
        <v>1.7299270072992701</v>
      </c>
      <c r="Q462" s="77">
        <v>0.59739940007705705</v>
      </c>
    </row>
    <row r="463" spans="10:17" ht="14.25">
      <c r="J463" s="72">
        <v>22.8269024651661</v>
      </c>
      <c r="K463" s="72">
        <v>136.27072962655001</v>
      </c>
      <c r="L463" s="72">
        <v>-59.415720446799902</v>
      </c>
      <c r="M463" s="72">
        <v>140.41028463795999</v>
      </c>
      <c r="N463" s="72">
        <v>5.3578795655825396E-4</v>
      </c>
      <c r="O463" s="72">
        <v>1.6824675950466199</v>
      </c>
      <c r="P463" s="72">
        <v>1.7335766423357699</v>
      </c>
      <c r="Q463" s="77">
        <v>0.59721705538866399</v>
      </c>
    </row>
    <row r="464" spans="10:17" ht="14.25">
      <c r="J464" s="72">
        <v>22.875133976420098</v>
      </c>
      <c r="K464" s="72">
        <v>136.47735136975299</v>
      </c>
      <c r="L464" s="72">
        <v>-59.474840566647401</v>
      </c>
      <c r="M464" s="72">
        <v>140.46940475780701</v>
      </c>
      <c r="N464" s="72">
        <v>1.0715759131165101E-3</v>
      </c>
      <c r="O464" s="72">
        <v>1.6850186519634101</v>
      </c>
      <c r="P464" s="72">
        <v>1.7343065693430699</v>
      </c>
      <c r="Q464" s="77">
        <v>0.59686110089168698</v>
      </c>
    </row>
    <row r="465" spans="10:17" ht="14.25">
      <c r="J465" s="72">
        <v>22.9281886387996</v>
      </c>
      <c r="K465" s="72">
        <v>136.477024767237</v>
      </c>
      <c r="L465" s="72">
        <v>-59.563520746418803</v>
      </c>
      <c r="M465" s="72">
        <v>140.558084937579</v>
      </c>
      <c r="N465" s="72">
        <v>5.3578795655825396E-4</v>
      </c>
      <c r="O465" s="72">
        <v>1.68501461956298</v>
      </c>
      <c r="P465" s="72">
        <v>1.73540145985401</v>
      </c>
      <c r="Q465" s="77">
        <v>0.59547857020223005</v>
      </c>
    </row>
    <row r="466" spans="10:17" ht="14.25">
      <c r="J466" s="72">
        <v>22.975348338692399</v>
      </c>
      <c r="K466" s="72">
        <v>136.151575502133</v>
      </c>
      <c r="L466" s="72">
        <v>-59.238360087257199</v>
      </c>
      <c r="M466" s="72">
        <v>140.23292427841699</v>
      </c>
      <c r="N466" s="72">
        <v>1.0715759131165101E-3</v>
      </c>
      <c r="O466" s="72">
        <v>1.6809964577473899</v>
      </c>
      <c r="P466" s="72">
        <v>1.7313868613138701</v>
      </c>
      <c r="Q466" s="77">
        <v>0.59283976289102303</v>
      </c>
    </row>
    <row r="467" spans="10:17" ht="14.25">
      <c r="J467" s="72">
        <v>23.027867095391201</v>
      </c>
      <c r="K467" s="72">
        <v>136.29905629094199</v>
      </c>
      <c r="L467" s="72">
        <v>-58.942759488019398</v>
      </c>
      <c r="M467" s="72">
        <v>139.937323679179</v>
      </c>
      <c r="N467" s="72">
        <v>1.60736386967476E-3</v>
      </c>
      <c r="O467" s="72">
        <v>1.6828173304229901</v>
      </c>
      <c r="P467" s="72">
        <v>1.72773722627737</v>
      </c>
      <c r="Q467" s="77">
        <v>0.59212814125798297</v>
      </c>
    </row>
    <row r="468" spans="10:17" ht="14.25">
      <c r="J468" s="72">
        <v>23.0734190782422</v>
      </c>
      <c r="K468" s="72">
        <v>136.180540538445</v>
      </c>
      <c r="L468" s="72">
        <v>-59.327040267028501</v>
      </c>
      <c r="M468" s="72">
        <v>140.321604458189</v>
      </c>
      <c r="N468" s="72">
        <v>5.3578795655825396E-4</v>
      </c>
      <c r="O468" s="72">
        <v>1.6813540747875</v>
      </c>
      <c r="P468" s="72">
        <v>1.7324817518248199</v>
      </c>
      <c r="Q468" s="77">
        <v>0.59044550436510501</v>
      </c>
    </row>
    <row r="469" spans="10:17" ht="14.25">
      <c r="J469" s="72">
        <v>23.118435155412602</v>
      </c>
      <c r="K469" s="72">
        <v>136.505430399049</v>
      </c>
      <c r="L469" s="72">
        <v>-59.386160386876099</v>
      </c>
      <c r="M469" s="72">
        <v>140.38072457803599</v>
      </c>
      <c r="N469" s="72">
        <v>5.3578795655825396E-4</v>
      </c>
      <c r="O469" s="72">
        <v>1.6853653299112099</v>
      </c>
      <c r="P469" s="72">
        <v>1.7332116788321199</v>
      </c>
      <c r="Q469" s="77">
        <v>0.59070112052732704</v>
      </c>
    </row>
    <row r="470" spans="10:17" ht="14.25">
      <c r="J470" s="72">
        <v>23.1725616291533</v>
      </c>
      <c r="K470" s="72">
        <v>136.771147274013</v>
      </c>
      <c r="L470" s="72">
        <v>-59.504400626571197</v>
      </c>
      <c r="M470" s="72">
        <v>140.49896481773101</v>
      </c>
      <c r="N470" s="72">
        <v>1.60736386967476E-3</v>
      </c>
      <c r="O470" s="72">
        <v>1.6886460053197101</v>
      </c>
      <c r="P470" s="72">
        <v>1.7346715328467199</v>
      </c>
      <c r="Q470" s="77">
        <v>0.59046804827235599</v>
      </c>
    </row>
    <row r="471" spans="10:17" ht="14.25">
      <c r="J471" s="72">
        <v>23.223472668810299</v>
      </c>
      <c r="K471" s="72">
        <v>136.20920363062999</v>
      </c>
      <c r="L471" s="72">
        <v>-58.410678409391302</v>
      </c>
      <c r="M471" s="72">
        <v>139.40524260055099</v>
      </c>
      <c r="N471" s="72">
        <v>1.0715759131165101E-3</v>
      </c>
      <c r="O471" s="72">
        <v>1.6817079638721699</v>
      </c>
      <c r="P471" s="72">
        <v>1.7211678832116799</v>
      </c>
      <c r="Q471" s="77">
        <v>0.58675388769911896</v>
      </c>
    </row>
    <row r="472" spans="10:17" ht="14.25">
      <c r="J472" s="72">
        <v>23.283494105037501</v>
      </c>
      <c r="K472" s="72">
        <v>136.44532987821901</v>
      </c>
      <c r="L472" s="72">
        <v>-59.1792399674096</v>
      </c>
      <c r="M472" s="72">
        <v>140.17380415856999</v>
      </c>
      <c r="N472" s="72">
        <v>5.3578795655825396E-4</v>
      </c>
      <c r="O472" s="72">
        <v>1.6846232983757601</v>
      </c>
      <c r="P472" s="72">
        <v>1.7306569343065701</v>
      </c>
      <c r="Q472" s="77">
        <v>0.58625545794281697</v>
      </c>
    </row>
    <row r="473" spans="10:17" ht="14.25">
      <c r="J473" s="72">
        <v>23.3279742765273</v>
      </c>
      <c r="K473" s="72">
        <v>136.44506904644101</v>
      </c>
      <c r="L473" s="72">
        <v>-59.001879607866996</v>
      </c>
      <c r="M473" s="72">
        <v>139.99644379902699</v>
      </c>
      <c r="N473" s="72">
        <v>5.3578795655825396E-4</v>
      </c>
      <c r="O473" s="72">
        <v>1.68462007801423</v>
      </c>
      <c r="P473" s="72">
        <v>1.72846715328467</v>
      </c>
      <c r="Q473" s="77">
        <v>0.58513650838575004</v>
      </c>
    </row>
    <row r="474" spans="10:17" ht="14.25">
      <c r="J474" s="72">
        <v>23.372990353697698</v>
      </c>
      <c r="K474" s="72">
        <v>137.006447666149</v>
      </c>
      <c r="L474" s="72">
        <v>-59.356600326952297</v>
      </c>
      <c r="M474" s="72">
        <v>140.351164518112</v>
      </c>
      <c r="N474" s="72">
        <v>1.0715759131165101E-3</v>
      </c>
      <c r="O474" s="72">
        <v>1.69155114339269</v>
      </c>
      <c r="P474" s="72">
        <v>1.7328467153284699</v>
      </c>
      <c r="Q474" s="77">
        <v>0.58641136929585103</v>
      </c>
    </row>
    <row r="475" spans="10:17" ht="14.25">
      <c r="J475" s="72">
        <v>23.427652733119</v>
      </c>
      <c r="K475" s="72">
        <v>136.65141014263699</v>
      </c>
      <c r="L475" s="72">
        <v>-59.208800027333403</v>
      </c>
      <c r="M475" s="72">
        <v>140.20336421849299</v>
      </c>
      <c r="N475" s="72">
        <v>1.0715759131165101E-3</v>
      </c>
      <c r="O475" s="72">
        <v>1.6871676699206399</v>
      </c>
      <c r="P475" s="72">
        <v>1.7310218978102201</v>
      </c>
      <c r="Q475" s="77">
        <v>0.58352766626823105</v>
      </c>
    </row>
    <row r="476" spans="10:17" ht="14.25">
      <c r="J476" s="72">
        <v>23.474276527331199</v>
      </c>
      <c r="K476" s="72">
        <v>136.94674223239201</v>
      </c>
      <c r="L476" s="72">
        <v>-59.829561285732801</v>
      </c>
      <c r="M476" s="72">
        <v>140.82412547689299</v>
      </c>
      <c r="N476" s="72">
        <v>5.3578795655825396E-4</v>
      </c>
      <c r="O476" s="72">
        <v>1.6908139898027701</v>
      </c>
      <c r="P476" s="72">
        <v>1.73868613138686</v>
      </c>
      <c r="Q476" s="77">
        <v>0.58362679329110201</v>
      </c>
    </row>
    <row r="477" spans="10:17" ht="14.25">
      <c r="J477" s="72">
        <v>23.521436227224001</v>
      </c>
      <c r="K477" s="72">
        <v>136.91691217450801</v>
      </c>
      <c r="L477" s="72">
        <v>-58.972319547943201</v>
      </c>
      <c r="M477" s="72">
        <v>139.966883739103</v>
      </c>
      <c r="N477" s="72">
        <v>1.0715759131165101E-3</v>
      </c>
      <c r="O477" s="72">
        <v>1.69044569276727</v>
      </c>
      <c r="P477" s="72">
        <v>1.72810218978102</v>
      </c>
      <c r="Q477" s="77">
        <v>0.58232982018475499</v>
      </c>
    </row>
    <row r="478" spans="10:17" ht="14.25">
      <c r="J478" s="72">
        <v>23.5685959271168</v>
      </c>
      <c r="K478" s="72">
        <v>137.00532396329001</v>
      </c>
      <c r="L478" s="72">
        <v>-59.297480207104798</v>
      </c>
      <c r="M478" s="72">
        <v>140.29204439826501</v>
      </c>
      <c r="N478" s="72">
        <v>5.3578795655825396E-4</v>
      </c>
      <c r="O478" s="72">
        <v>1.69153726958683</v>
      </c>
      <c r="P478" s="72">
        <v>1.7321167883211701</v>
      </c>
      <c r="Q478" s="77">
        <v>0.58153972981458701</v>
      </c>
    </row>
    <row r="479" spans="10:17" ht="14.25">
      <c r="J479" s="72">
        <v>23.622722400857398</v>
      </c>
      <c r="K479" s="72">
        <v>137.18237826376901</v>
      </c>
      <c r="L479" s="72">
        <v>-59.327040267028501</v>
      </c>
      <c r="M479" s="72">
        <v>140.321604458189</v>
      </c>
      <c r="N479" s="72">
        <v>0</v>
      </c>
      <c r="O479" s="72">
        <v>1.6937232718481801</v>
      </c>
      <c r="P479" s="72">
        <v>1.7324817518248199</v>
      </c>
      <c r="Q479" s="77">
        <v>0.58095676293069598</v>
      </c>
    </row>
    <row r="480" spans="10:17" ht="14.25">
      <c r="J480" s="72">
        <v>23.6720257234727</v>
      </c>
      <c r="K480" s="72">
        <v>137.00474096004001</v>
      </c>
      <c r="L480" s="72">
        <v>-59.149679907485798</v>
      </c>
      <c r="M480" s="72">
        <v>140.144244098646</v>
      </c>
      <c r="N480" s="72">
        <v>5.3578795655825396E-4</v>
      </c>
      <c r="O480" s="72">
        <v>1.6915300715327899</v>
      </c>
      <c r="P480" s="72">
        <v>1.7302919708029201</v>
      </c>
      <c r="Q480" s="77">
        <v>0.57899635491056101</v>
      </c>
    </row>
    <row r="481" spans="10:17" ht="14.25">
      <c r="J481" s="72">
        <v>23.723472668810299</v>
      </c>
      <c r="K481" s="72">
        <v>137.41829468632</v>
      </c>
      <c r="L481" s="72">
        <v>-59.740881105961499</v>
      </c>
      <c r="M481" s="72">
        <v>140.735445297122</v>
      </c>
      <c r="N481" s="72">
        <v>5.3578795655825396E-4</v>
      </c>
      <c r="O481" s="72">
        <v>1.69663601574534</v>
      </c>
      <c r="P481" s="72">
        <v>1.73759124087591</v>
      </c>
      <c r="Q481" s="77">
        <v>0.57948396391147505</v>
      </c>
    </row>
    <row r="482" spans="10:17" ht="14.25">
      <c r="J482" s="72">
        <v>23.771704180064301</v>
      </c>
      <c r="K482" s="72">
        <v>137.211106835614</v>
      </c>
      <c r="L482" s="72">
        <v>-59.533960686495</v>
      </c>
      <c r="M482" s="72">
        <v>140.528524877655</v>
      </c>
      <c r="N482" s="72">
        <v>5.3578795655825396E-4</v>
      </c>
      <c r="O482" s="72">
        <v>1.6940779693779699</v>
      </c>
      <c r="P482" s="72">
        <v>1.7350364963503699</v>
      </c>
      <c r="Q482" s="77">
        <v>0.57743664866521105</v>
      </c>
    </row>
    <row r="483" spans="10:17" ht="14.25">
      <c r="J483" s="72">
        <v>23.8215434083601</v>
      </c>
      <c r="K483" s="72">
        <v>137.38819261536301</v>
      </c>
      <c r="L483" s="72">
        <v>-59.533960686495</v>
      </c>
      <c r="M483" s="72">
        <v>140.528524877655</v>
      </c>
      <c r="N483" s="72">
        <v>5.3578795655825396E-4</v>
      </c>
      <c r="O483" s="72">
        <v>1.69626436029836</v>
      </c>
      <c r="P483" s="72">
        <v>1.7350364963503699</v>
      </c>
      <c r="Q483" s="77">
        <v>0.57697192567079503</v>
      </c>
    </row>
    <row r="484" spans="10:17" ht="14.25">
      <c r="J484" s="72">
        <v>23.876741693462002</v>
      </c>
      <c r="K484" s="72">
        <v>137.033169886396</v>
      </c>
      <c r="L484" s="72">
        <v>-59.1792399674096</v>
      </c>
      <c r="M484" s="72">
        <v>140.17380415856999</v>
      </c>
      <c r="N484" s="72">
        <v>1.0715759131165101E-3</v>
      </c>
      <c r="O484" s="72">
        <v>1.6918810694872899</v>
      </c>
      <c r="P484" s="72">
        <v>1.7306569343065701</v>
      </c>
      <c r="Q484" s="77">
        <v>0.57415118343509897</v>
      </c>
    </row>
    <row r="485" spans="10:17" ht="14.25">
      <c r="J485" s="72">
        <v>23.9233654876742</v>
      </c>
      <c r="K485" s="72">
        <v>137.446757344688</v>
      </c>
      <c r="L485" s="72">
        <v>-59.918241465504202</v>
      </c>
      <c r="M485" s="72">
        <v>140.91280565666401</v>
      </c>
      <c r="N485" s="72">
        <v>1.0715759131165101E-3</v>
      </c>
      <c r="O485" s="72">
        <v>1.69698743017238</v>
      </c>
      <c r="P485" s="72">
        <v>1.73978102189781</v>
      </c>
      <c r="Q485" s="77">
        <v>0.57476103238020304</v>
      </c>
    </row>
    <row r="486" spans="10:17" ht="14.25">
      <c r="J486" s="72">
        <v>23.976420150053599</v>
      </c>
      <c r="K486" s="72">
        <v>137.35779074578099</v>
      </c>
      <c r="L486" s="72">
        <v>-59.800001225808998</v>
      </c>
      <c r="M486" s="72">
        <v>140.79456541696899</v>
      </c>
      <c r="N486" s="72">
        <v>5.3578795655825396E-4</v>
      </c>
      <c r="O486" s="72">
        <v>1.6958890033853999</v>
      </c>
      <c r="P486" s="72">
        <v>1.73832116788321</v>
      </c>
      <c r="Q486" s="77">
        <v>0.57311815107574005</v>
      </c>
    </row>
    <row r="487" spans="10:17" ht="14.25">
      <c r="J487" s="72">
        <v>24.022508038585201</v>
      </c>
      <c r="K487" s="72">
        <v>137.26886340822301</v>
      </c>
      <c r="L487" s="72">
        <v>-59.445280506723698</v>
      </c>
      <c r="M487" s="72">
        <v>140.43984469788401</v>
      </c>
      <c r="N487" s="72">
        <v>0</v>
      </c>
      <c r="O487" s="72">
        <v>1.6947910613389601</v>
      </c>
      <c r="P487" s="72">
        <v>1.7339416058394199</v>
      </c>
      <c r="Q487" s="77">
        <v>0.57164842363673396</v>
      </c>
    </row>
    <row r="488" spans="10:17" ht="14.25">
      <c r="J488" s="72">
        <v>24.072347266881</v>
      </c>
      <c r="K488" s="72">
        <v>137.416398159783</v>
      </c>
      <c r="L488" s="72">
        <v>-59.267920147181002</v>
      </c>
      <c r="M488" s="72">
        <v>140.26248433834101</v>
      </c>
      <c r="N488" s="72">
        <v>5.3578795655825396E-4</v>
      </c>
      <c r="O488" s="72">
        <v>1.6966126002660999</v>
      </c>
      <c r="P488" s="72">
        <v>1.7317518248175201</v>
      </c>
      <c r="Q488" s="77">
        <v>0.57107776714934499</v>
      </c>
    </row>
    <row r="489" spans="10:17" ht="14.25">
      <c r="J489" s="72">
        <v>24.122186495176798</v>
      </c>
      <c r="K489" s="72">
        <v>137.23877404695</v>
      </c>
      <c r="L489" s="72">
        <v>-59.563520746418803</v>
      </c>
      <c r="M489" s="72">
        <v>140.558084937579</v>
      </c>
      <c r="N489" s="72">
        <v>0</v>
      </c>
      <c r="O489" s="72">
        <v>1.6944195628122001</v>
      </c>
      <c r="P489" s="72">
        <v>1.73540145985401</v>
      </c>
      <c r="Q489" s="77">
        <v>0.569161502779854</v>
      </c>
    </row>
    <row r="490" spans="10:17" ht="14.25">
      <c r="J490" s="72">
        <v>24.1693461950697</v>
      </c>
      <c r="K490" s="72">
        <v>137.53412672580501</v>
      </c>
      <c r="L490" s="72">
        <v>-59.474840566647401</v>
      </c>
      <c r="M490" s="72">
        <v>140.46940475780701</v>
      </c>
      <c r="N490" s="72">
        <v>5.3578795655825396E-4</v>
      </c>
      <c r="O490" s="72">
        <v>1.6980661368978101</v>
      </c>
      <c r="P490" s="72">
        <v>1.7343065693430699</v>
      </c>
      <c r="Q490" s="77">
        <v>0.56927295727274996</v>
      </c>
    </row>
    <row r="491" spans="10:17" ht="14.25">
      <c r="J491" s="72">
        <v>24.215969989281898</v>
      </c>
      <c r="K491" s="72">
        <v>137.77036368177099</v>
      </c>
      <c r="L491" s="72">
        <v>-59.740881105961499</v>
      </c>
      <c r="M491" s="72">
        <v>140.735445297122</v>
      </c>
      <c r="N491" s="72">
        <v>5.3578795655825396E-4</v>
      </c>
      <c r="O491" s="72">
        <v>1.70098283826321</v>
      </c>
      <c r="P491" s="72">
        <v>1.73759124087591</v>
      </c>
      <c r="Q491" s="77">
        <v>0.56915245953447502</v>
      </c>
    </row>
    <row r="492" spans="10:17" ht="14.25">
      <c r="J492" s="72">
        <v>24.270096463022501</v>
      </c>
      <c r="K492" s="72">
        <v>137.947443300327</v>
      </c>
      <c r="L492" s="72">
        <v>-59.829561285732801</v>
      </c>
      <c r="M492" s="72">
        <v>140.82412547689299</v>
      </c>
      <c r="N492" s="72">
        <v>5.3578795655825396E-4</v>
      </c>
      <c r="O492" s="72">
        <v>1.70316915311439</v>
      </c>
      <c r="P492" s="72">
        <v>1.73868613138686</v>
      </c>
      <c r="Q492" s="77">
        <v>0.56861277260658305</v>
      </c>
    </row>
    <row r="493" spans="10:17" ht="14.25">
      <c r="J493" s="72">
        <v>24.3188638799571</v>
      </c>
      <c r="K493" s="72">
        <v>137.976752228224</v>
      </c>
      <c r="L493" s="72">
        <v>-60.0364817051993</v>
      </c>
      <c r="M493" s="72">
        <v>141.03104589635899</v>
      </c>
      <c r="N493" s="72">
        <v>5.3578795655825396E-4</v>
      </c>
      <c r="O493" s="72">
        <v>1.70353101601457</v>
      </c>
      <c r="P493" s="72">
        <v>1.7412408759124101</v>
      </c>
      <c r="Q493" s="77">
        <v>0.56759303404112904</v>
      </c>
    </row>
    <row r="494" spans="10:17" ht="14.25">
      <c r="J494" s="72">
        <v>24.368703108252902</v>
      </c>
      <c r="K494" s="72">
        <v>137.74001687289001</v>
      </c>
      <c r="L494" s="72">
        <v>-59.267920147181002</v>
      </c>
      <c r="M494" s="72">
        <v>140.26248433834101</v>
      </c>
      <c r="N494" s="72">
        <v>5.3578795655825396E-4</v>
      </c>
      <c r="O494" s="72">
        <v>1.70060816115761</v>
      </c>
      <c r="P494" s="72">
        <v>1.7317518248175201</v>
      </c>
      <c r="Q494" s="77">
        <v>0.56546071152461197</v>
      </c>
    </row>
    <row r="495" spans="10:17" ht="14.25">
      <c r="J495" s="72">
        <v>24.416934619507</v>
      </c>
      <c r="K495" s="72">
        <v>137.976252407</v>
      </c>
      <c r="L495" s="72">
        <v>-59.327040267028501</v>
      </c>
      <c r="M495" s="72">
        <v>140.321604458189</v>
      </c>
      <c r="N495" s="72">
        <v>5.3578795655825396E-4</v>
      </c>
      <c r="O495" s="72">
        <v>1.70352484496804</v>
      </c>
      <c r="P495" s="72">
        <v>1.7324817518248199</v>
      </c>
      <c r="Q495" s="77">
        <v>0.56531124676511302</v>
      </c>
    </row>
    <row r="496" spans="10:17" ht="14.25">
      <c r="J496" s="72">
        <v>24.469453376205799</v>
      </c>
      <c r="K496" s="72">
        <v>137.79862724085999</v>
      </c>
      <c r="L496" s="72">
        <v>-59.563520746418803</v>
      </c>
      <c r="M496" s="72">
        <v>140.558084937579</v>
      </c>
      <c r="N496" s="72">
        <v>0</v>
      </c>
      <c r="O496" s="72">
        <v>1.7013317945094899</v>
      </c>
      <c r="P496" s="72">
        <v>1.73540145985401</v>
      </c>
      <c r="Q496" s="77">
        <v>0.563372014216171</v>
      </c>
    </row>
    <row r="497" spans="10:17" ht="14.25">
      <c r="J497" s="72">
        <v>24.518756698821001</v>
      </c>
      <c r="K497" s="72">
        <v>137.88706064033499</v>
      </c>
      <c r="L497" s="72">
        <v>-59.504400626571197</v>
      </c>
      <c r="M497" s="72">
        <v>140.49896481773101</v>
      </c>
      <c r="N497" s="72">
        <v>-5.3578795655825396E-4</v>
      </c>
      <c r="O497" s="72">
        <v>1.7024236381456399</v>
      </c>
      <c r="P497" s="72">
        <v>1.7346715328467199</v>
      </c>
      <c r="Q497" s="77">
        <v>0.56259983916445899</v>
      </c>
    </row>
    <row r="498" spans="10:17" ht="14.25">
      <c r="J498" s="72">
        <v>24.5728831725616</v>
      </c>
      <c r="K498" s="72">
        <v>137.85723168107501</v>
      </c>
      <c r="L498" s="72">
        <v>-59.386160386876099</v>
      </c>
      <c r="M498" s="72">
        <v>140.38072457803599</v>
      </c>
      <c r="N498" s="72">
        <v>5.3578795655825396E-4</v>
      </c>
      <c r="O498" s="72">
        <v>1.7020553546743</v>
      </c>
      <c r="P498" s="72">
        <v>1.7332116788321199</v>
      </c>
      <c r="Q498" s="77">
        <v>0.56123921570354196</v>
      </c>
    </row>
    <row r="499" spans="10:17" ht="14.25">
      <c r="J499" s="72">
        <v>24.617363344051402</v>
      </c>
      <c r="K499" s="72">
        <v>137.76833210918099</v>
      </c>
      <c r="L499" s="72">
        <v>-59.533960686495</v>
      </c>
      <c r="M499" s="72">
        <v>140.528524877655</v>
      </c>
      <c r="N499" s="72">
        <v>1.0715759131165101E-3</v>
      </c>
      <c r="O499" s="72">
        <v>1.70095775543685</v>
      </c>
      <c r="P499" s="72">
        <v>1.7350364963503699</v>
      </c>
      <c r="Q499" s="77">
        <v>0.55986400856711604</v>
      </c>
    </row>
    <row r="500" spans="10:17" ht="14.25">
      <c r="J500" s="72">
        <v>24.6682743837085</v>
      </c>
      <c r="K500" s="72">
        <v>138.15236353123501</v>
      </c>
      <c r="L500" s="72">
        <v>-59.386160386876099</v>
      </c>
      <c r="M500" s="72">
        <v>140.38072457803599</v>
      </c>
      <c r="N500" s="72">
        <v>1.0715759131165101E-3</v>
      </c>
      <c r="O500" s="72">
        <v>1.7056992022967601</v>
      </c>
      <c r="P500" s="72">
        <v>1.7332116788321199</v>
      </c>
      <c r="Q500" s="77">
        <v>0.56026532903682902</v>
      </c>
    </row>
    <row r="501" spans="10:17" ht="14.25">
      <c r="J501" s="72">
        <v>24.716505894962499</v>
      </c>
      <c r="K501" s="72">
        <v>138.063448846093</v>
      </c>
      <c r="L501" s="72">
        <v>-59.297480207104798</v>
      </c>
      <c r="M501" s="72">
        <v>140.29204439826501</v>
      </c>
      <c r="N501" s="72">
        <v>5.3578795655825396E-4</v>
      </c>
      <c r="O501" s="72">
        <v>1.70460141646347</v>
      </c>
      <c r="P501" s="72">
        <v>1.7321167883211701</v>
      </c>
      <c r="Q501" s="77">
        <v>0.558812295497642</v>
      </c>
    </row>
    <row r="502" spans="10:17" ht="14.25">
      <c r="J502" s="72">
        <v>24.767416934619501</v>
      </c>
      <c r="K502" s="72">
        <v>138.358803735392</v>
      </c>
      <c r="L502" s="72">
        <v>-59.740881105961499</v>
      </c>
      <c r="M502" s="72">
        <v>140.735445297122</v>
      </c>
      <c r="N502" s="72">
        <v>1.0715759131165101E-3</v>
      </c>
      <c r="O502" s="72">
        <v>1.7082480178403501</v>
      </c>
      <c r="P502" s="72">
        <v>1.73759124087591</v>
      </c>
      <c r="Q502" s="77">
        <v>0.558856134303921</v>
      </c>
    </row>
    <row r="503" spans="10:17" ht="14.25">
      <c r="J503" s="72">
        <v>24.816184351554099</v>
      </c>
      <c r="K503" s="72">
        <v>138.535930486849</v>
      </c>
      <c r="L503" s="72">
        <v>-60.154721944894398</v>
      </c>
      <c r="M503" s="72">
        <v>141.149286136054</v>
      </c>
      <c r="N503" s="72">
        <v>0</v>
      </c>
      <c r="O503" s="72">
        <v>1.71043491461824</v>
      </c>
      <c r="P503" s="72">
        <v>1.7427007299270101</v>
      </c>
      <c r="Q503" s="77">
        <v>0.55847165557716505</v>
      </c>
    </row>
    <row r="504" spans="10:17" ht="14.25">
      <c r="J504" s="72">
        <v>24.868167202572302</v>
      </c>
      <c r="K504" s="72">
        <v>138.38788306850401</v>
      </c>
      <c r="L504" s="72">
        <v>-60.302522244513298</v>
      </c>
      <c r="M504" s="72">
        <v>141.29708643567301</v>
      </c>
      <c r="N504" s="72">
        <v>5.3578795655825396E-4</v>
      </c>
      <c r="O504" s="72">
        <v>1.7086070460467699</v>
      </c>
      <c r="P504" s="72">
        <v>1.7445255474452599</v>
      </c>
      <c r="Q504" s="77">
        <v>0.55670893256074105</v>
      </c>
    </row>
    <row r="505" spans="10:17" ht="14.25">
      <c r="J505" s="72">
        <v>24.9244372990354</v>
      </c>
      <c r="K505" s="72">
        <v>138.77189854852199</v>
      </c>
      <c r="L505" s="72">
        <v>-60.125161884970602</v>
      </c>
      <c r="M505" s="72">
        <v>141.119726076131</v>
      </c>
      <c r="N505" s="72">
        <v>1.0715759131165101E-3</v>
      </c>
      <c r="O505" s="72">
        <v>1.71334829607822</v>
      </c>
      <c r="P505" s="72">
        <v>1.7423357664233601</v>
      </c>
      <c r="Q505" s="77">
        <v>0.55699280988883804</v>
      </c>
    </row>
    <row r="506" spans="10:17" ht="14.25">
      <c r="J506" s="72">
        <v>24.968381564844599</v>
      </c>
      <c r="K506" s="72">
        <v>138.476092354397</v>
      </c>
      <c r="L506" s="72">
        <v>-59.6817609861139</v>
      </c>
      <c r="M506" s="72">
        <v>140.67632517727401</v>
      </c>
      <c r="N506" s="72">
        <v>0</v>
      </c>
      <c r="O506" s="72">
        <v>1.7096961226628899</v>
      </c>
      <c r="P506" s="72">
        <v>1.73686131386861</v>
      </c>
      <c r="Q506" s="77">
        <v>0.55482778131605304</v>
      </c>
    </row>
    <row r="507" spans="10:17" ht="14.25">
      <c r="J507" s="72">
        <v>25.011789924973201</v>
      </c>
      <c r="K507" s="72">
        <v>138.50545069657599</v>
      </c>
      <c r="L507" s="72">
        <v>-59.740881105961499</v>
      </c>
      <c r="M507" s="72">
        <v>140.735445297122</v>
      </c>
      <c r="N507" s="72">
        <v>5.3578795655825396E-4</v>
      </c>
      <c r="O507" s="72">
        <v>1.7100585956568799</v>
      </c>
      <c r="P507" s="72">
        <v>1.73759124087591</v>
      </c>
      <c r="Q507" s="77">
        <v>0.55398224687064801</v>
      </c>
    </row>
    <row r="508" spans="10:17" ht="14.25">
      <c r="J508" s="72">
        <v>25.065380493033199</v>
      </c>
      <c r="K508" s="72">
        <v>138.62344377999901</v>
      </c>
      <c r="L508" s="72">
        <v>-59.800001225808998</v>
      </c>
      <c r="M508" s="72">
        <v>140.79456541696899</v>
      </c>
      <c r="N508" s="72">
        <v>5.3578795655825396E-4</v>
      </c>
      <c r="O508" s="72">
        <v>1.71151539815469</v>
      </c>
      <c r="P508" s="72">
        <v>1.73832116788321</v>
      </c>
      <c r="Q508" s="77">
        <v>0.55326855672867403</v>
      </c>
    </row>
    <row r="509" spans="10:17" ht="14.25">
      <c r="J509" s="72">
        <v>25.120042872454501</v>
      </c>
      <c r="K509" s="72">
        <v>138.830114237852</v>
      </c>
      <c r="L509" s="72">
        <v>-59.859121345656597</v>
      </c>
      <c r="M509" s="72">
        <v>140.85368553681701</v>
      </c>
      <c r="N509" s="72">
        <v>1.60736386967476E-3</v>
      </c>
      <c r="O509" s="72">
        <v>1.71406705652728</v>
      </c>
      <c r="P509" s="72">
        <v>1.73905109489051</v>
      </c>
      <c r="Q509" s="77">
        <v>0.55288734997544497</v>
      </c>
    </row>
    <row r="510" spans="10:17" ht="14.25">
      <c r="J510" s="72">
        <v>25.1639871382637</v>
      </c>
      <c r="K510" s="72">
        <v>138.47519413470201</v>
      </c>
      <c r="L510" s="72">
        <v>-59.474840566647401</v>
      </c>
      <c r="M510" s="72">
        <v>140.46940475780701</v>
      </c>
      <c r="N510" s="72">
        <v>5.3578795655825396E-4</v>
      </c>
      <c r="O510" s="72">
        <v>1.70968503278663</v>
      </c>
      <c r="P510" s="72">
        <v>1.7343065693430699</v>
      </c>
      <c r="Q510" s="77">
        <v>0.55051140539017895</v>
      </c>
    </row>
    <row r="511" spans="10:17" ht="14.25">
      <c r="J511" s="72">
        <v>25.219721329046099</v>
      </c>
      <c r="K511" s="72">
        <v>138.94790422318499</v>
      </c>
      <c r="L511" s="72">
        <v>-59.918241465504202</v>
      </c>
      <c r="M511" s="72">
        <v>140.91280565666401</v>
      </c>
      <c r="N511" s="72">
        <v>0</v>
      </c>
      <c r="O511" s="72">
        <v>1.7155213514729899</v>
      </c>
      <c r="P511" s="72">
        <v>1.73978102189781</v>
      </c>
      <c r="Q511" s="77">
        <v>0.55116917241844798</v>
      </c>
    </row>
    <row r="512" spans="10:17" ht="14.25">
      <c r="J512" s="72">
        <v>25.265809217577701</v>
      </c>
      <c r="K512" s="72">
        <v>138.59297774903101</v>
      </c>
      <c r="L512" s="72">
        <v>-59.445280506723698</v>
      </c>
      <c r="M512" s="72">
        <v>140.43984469788401</v>
      </c>
      <c r="N512" s="72">
        <v>1.0715759131165101E-3</v>
      </c>
      <c r="O512" s="72">
        <v>1.71113924907269</v>
      </c>
      <c r="P512" s="72">
        <v>1.7339416058394199</v>
      </c>
      <c r="Q512" s="77">
        <v>0.54875900339233497</v>
      </c>
    </row>
    <row r="513" spans="10:17" ht="14.25">
      <c r="J513" s="72">
        <v>25.3199356913183</v>
      </c>
      <c r="K513" s="72">
        <v>138.74053836570599</v>
      </c>
      <c r="L513" s="72">
        <v>-59.829561285732801</v>
      </c>
      <c r="M513" s="72">
        <v>140.82412547689299</v>
      </c>
      <c r="N513" s="72">
        <v>1.60736386967476E-3</v>
      </c>
      <c r="O513" s="72">
        <v>1.7129611073436499</v>
      </c>
      <c r="P513" s="72">
        <v>1.73868613138686</v>
      </c>
      <c r="Q513" s="77">
        <v>0.54816870457397304</v>
      </c>
    </row>
    <row r="514" spans="10:17" ht="14.25">
      <c r="J514" s="72">
        <v>25.367631296891702</v>
      </c>
      <c r="K514" s="72">
        <v>138.94724933392001</v>
      </c>
      <c r="L514" s="72">
        <v>-59.947801525427998</v>
      </c>
      <c r="M514" s="72">
        <v>140.942365716588</v>
      </c>
      <c r="N514" s="72">
        <v>1.0715759131165101E-3</v>
      </c>
      <c r="O514" s="72">
        <v>1.7155132658777199</v>
      </c>
      <c r="P514" s="72">
        <v>1.74014598540146</v>
      </c>
      <c r="Q514" s="77">
        <v>0.54795291219526898</v>
      </c>
    </row>
    <row r="515" spans="10:17" ht="14.25">
      <c r="J515" s="72">
        <v>25.4110396570204</v>
      </c>
      <c r="K515" s="72">
        <v>138.85837995869301</v>
      </c>
      <c r="L515" s="72">
        <v>-59.652200926190098</v>
      </c>
      <c r="M515" s="72">
        <v>140.64676511734999</v>
      </c>
      <c r="N515" s="72">
        <v>1.0715759131165101E-3</v>
      </c>
      <c r="O515" s="72">
        <v>1.7144160394636501</v>
      </c>
      <c r="P515" s="72">
        <v>1.73649635036496</v>
      </c>
      <c r="Q515" s="77">
        <v>0.54666714524870597</v>
      </c>
    </row>
    <row r="516" spans="10:17" ht="14.25">
      <c r="J516" s="72">
        <v>25.469989281886399</v>
      </c>
      <c r="K516" s="72">
        <v>138.91724532634899</v>
      </c>
      <c r="L516" s="72">
        <v>-59.770441165885202</v>
      </c>
      <c r="M516" s="72">
        <v>140.765005357045</v>
      </c>
      <c r="N516" s="72">
        <v>5.3578795655825396E-4</v>
      </c>
      <c r="O516" s="72">
        <v>1.71514282117109</v>
      </c>
      <c r="P516" s="72">
        <v>1.73795620437956</v>
      </c>
      <c r="Q516" s="77">
        <v>0.54563301499910799</v>
      </c>
    </row>
    <row r="517" spans="10:17" ht="14.25">
      <c r="J517" s="72">
        <v>25.517684887459801</v>
      </c>
      <c r="K517" s="72">
        <v>138.91704104628701</v>
      </c>
      <c r="L517" s="72">
        <v>-59.918241465504202</v>
      </c>
      <c r="M517" s="72">
        <v>140.91280565666401</v>
      </c>
      <c r="N517" s="72">
        <v>1.0715759131165101E-3</v>
      </c>
      <c r="O517" s="72">
        <v>1.71514029902575</v>
      </c>
      <c r="P517" s="72">
        <v>1.73978102189781</v>
      </c>
      <c r="Q517" s="77">
        <v>0.54461236108037103</v>
      </c>
    </row>
    <row r="518" spans="10:17" ht="14.25">
      <c r="J518" s="72">
        <v>25.565916398713799</v>
      </c>
      <c r="K518" s="72">
        <v>139.03507638214401</v>
      </c>
      <c r="L518" s="72">
        <v>-59.740881105961499</v>
      </c>
      <c r="M518" s="72">
        <v>140.735445297122</v>
      </c>
      <c r="N518" s="72">
        <v>1.60736386967476E-3</v>
      </c>
      <c r="O518" s="72">
        <v>1.71659762319356</v>
      </c>
      <c r="P518" s="72">
        <v>1.73759124087591</v>
      </c>
      <c r="Q518" s="77">
        <v>0.54404661004640598</v>
      </c>
    </row>
    <row r="519" spans="10:17" ht="14.25">
      <c r="J519" s="72">
        <v>25.610932475884201</v>
      </c>
      <c r="K519" s="72">
        <v>139.212247014599</v>
      </c>
      <c r="L519" s="72">
        <v>-60.332082304437101</v>
      </c>
      <c r="M519" s="72">
        <v>141.326646495597</v>
      </c>
      <c r="N519" s="72">
        <v>0</v>
      </c>
      <c r="O519" s="72">
        <v>1.7187850617485401</v>
      </c>
      <c r="P519" s="72">
        <v>1.7448905109489099</v>
      </c>
      <c r="Q519" s="77">
        <v>0.54378212217807098</v>
      </c>
    </row>
    <row r="520" spans="10:17" ht="14.25">
      <c r="J520" s="72">
        <v>25.6661307609861</v>
      </c>
      <c r="K520" s="72">
        <v>138.916415772254</v>
      </c>
      <c r="L520" s="72">
        <v>-59.563520746418803</v>
      </c>
      <c r="M520" s="72">
        <v>140.558084937579</v>
      </c>
      <c r="N520" s="72">
        <v>1.60736386967476E-3</v>
      </c>
      <c r="O520" s="72">
        <v>1.7151325790751799</v>
      </c>
      <c r="P520" s="72">
        <v>1.73540145985401</v>
      </c>
      <c r="Q520" s="77">
        <v>0.54146003610273996</v>
      </c>
    </row>
    <row r="521" spans="10:17" ht="14.25">
      <c r="J521" s="72">
        <v>25.718113612004299</v>
      </c>
      <c r="K521" s="72">
        <v>138.82752039776</v>
      </c>
      <c r="L521" s="72">
        <v>-59.563520746418803</v>
      </c>
      <c r="M521" s="72">
        <v>140.558084937579</v>
      </c>
      <c r="N521" s="72">
        <v>5.3578795655825396E-4</v>
      </c>
      <c r="O521" s="72">
        <v>1.7140350316609501</v>
      </c>
      <c r="P521" s="72">
        <v>1.73540145985401</v>
      </c>
      <c r="Q521" s="77">
        <v>0.54001995482783505</v>
      </c>
    </row>
    <row r="522" spans="10:17" ht="14.25">
      <c r="J522" s="72">
        <v>25.762593783494101</v>
      </c>
      <c r="K522" s="72">
        <v>138.916017991952</v>
      </c>
      <c r="L522" s="72">
        <v>-59.859121345656597</v>
      </c>
      <c r="M522" s="72">
        <v>140.85368553681701</v>
      </c>
      <c r="N522" s="72">
        <v>5.3578795655825396E-4</v>
      </c>
      <c r="O522" s="72">
        <v>1.7151276678776599</v>
      </c>
      <c r="P522" s="72">
        <v>1.73905109489051</v>
      </c>
      <c r="Q522" s="77">
        <v>0.539431100269674</v>
      </c>
    </row>
    <row r="523" spans="10:17" ht="14.25">
      <c r="J523" s="72">
        <v>25.814576634512299</v>
      </c>
      <c r="K523" s="72">
        <v>139.30008719939099</v>
      </c>
      <c r="L523" s="72">
        <v>-59.770441165885202</v>
      </c>
      <c r="M523" s="72">
        <v>140.765005357045</v>
      </c>
      <c r="N523" s="72">
        <v>5.3578795655825396E-4</v>
      </c>
      <c r="O523" s="72">
        <v>1.7198695812551099</v>
      </c>
      <c r="P523" s="72">
        <v>1.73795620437956</v>
      </c>
      <c r="Q523" s="77">
        <v>0.539832646821094</v>
      </c>
    </row>
    <row r="524" spans="10:17" ht="14.25">
      <c r="J524" s="72">
        <v>25.867631296891702</v>
      </c>
      <c r="K524" s="72">
        <v>138.97471261963599</v>
      </c>
      <c r="L524" s="72">
        <v>-59.415720446799902</v>
      </c>
      <c r="M524" s="72">
        <v>140.41028463795999</v>
      </c>
      <c r="N524" s="72">
        <v>1.0715759131165101E-3</v>
      </c>
      <c r="O524" s="72">
        <v>1.71585234154274</v>
      </c>
      <c r="P524" s="72">
        <v>1.7335766423357699</v>
      </c>
      <c r="Q524" s="77">
        <v>0.537467602411276</v>
      </c>
    </row>
    <row r="525" spans="10:17" ht="14.25">
      <c r="J525" s="72">
        <v>25.9185423365488</v>
      </c>
      <c r="K525" s="72">
        <v>139.683950692689</v>
      </c>
      <c r="L525" s="72">
        <v>-60.0364817051993</v>
      </c>
      <c r="M525" s="72">
        <v>141.03104589635899</v>
      </c>
      <c r="N525" s="72">
        <v>5.3578795655825396E-4</v>
      </c>
      <c r="O525" s="72">
        <v>1.7246089547813701</v>
      </c>
      <c r="P525" s="72">
        <v>1.7412408759124101</v>
      </c>
      <c r="Q525" s="77">
        <v>0.53914828230133305</v>
      </c>
    </row>
    <row r="526" spans="10:17" ht="14.25">
      <c r="J526" s="72">
        <v>25.965702036441598</v>
      </c>
      <c r="K526" s="72">
        <v>139.358603324092</v>
      </c>
      <c r="L526" s="72">
        <v>-59.918241465504202</v>
      </c>
      <c r="M526" s="72">
        <v>140.91280565666401</v>
      </c>
      <c r="N526" s="72">
        <v>5.3578795655825396E-4</v>
      </c>
      <c r="O526" s="72">
        <v>1.72059205103177</v>
      </c>
      <c r="P526" s="72">
        <v>1.73978102189781</v>
      </c>
      <c r="Q526" s="77">
        <v>0.53691607583260603</v>
      </c>
    </row>
    <row r="527" spans="10:17" ht="14.25">
      <c r="J527" s="72">
        <v>26.019828510182201</v>
      </c>
      <c r="K527" s="72">
        <v>139.44707119294699</v>
      </c>
      <c r="L527" s="72">
        <v>-59.829561285732801</v>
      </c>
      <c r="M527" s="72">
        <v>140.82412547689299</v>
      </c>
      <c r="N527" s="72">
        <v>0</v>
      </c>
      <c r="O527" s="72">
        <v>1.7216843202443799</v>
      </c>
      <c r="P527" s="72">
        <v>1.73868613138686</v>
      </c>
      <c r="Q527" s="77">
        <v>0.53613918420220597</v>
      </c>
    </row>
    <row r="528" spans="10:17" ht="14.25">
      <c r="J528" s="72">
        <v>26.066988210074999</v>
      </c>
      <c r="K528" s="72">
        <v>139.29908763522599</v>
      </c>
      <c r="L528" s="72">
        <v>-59.859121345656597</v>
      </c>
      <c r="M528" s="72">
        <v>140.85368553681701</v>
      </c>
      <c r="N528" s="72">
        <v>5.3578795655825396E-4</v>
      </c>
      <c r="O528" s="72">
        <v>1.7198572401285801</v>
      </c>
      <c r="P528" s="72">
        <v>1.73905109489051</v>
      </c>
      <c r="Q528" s="77">
        <v>0.534601510632983</v>
      </c>
    </row>
    <row r="529" spans="10:17" ht="14.25">
      <c r="J529" s="72">
        <v>26.118971061093202</v>
      </c>
      <c r="K529" s="72">
        <v>139.239767376868</v>
      </c>
      <c r="L529" s="72">
        <v>-59.386160386876099</v>
      </c>
      <c r="M529" s="72">
        <v>140.38072457803599</v>
      </c>
      <c r="N529" s="72">
        <v>1.0715759131165101E-3</v>
      </c>
      <c r="O529" s="72">
        <v>1.7191248421096501</v>
      </c>
      <c r="P529" s="72">
        <v>1.7332116788321199</v>
      </c>
      <c r="Q529" s="77">
        <v>0.53331041319892902</v>
      </c>
    </row>
    <row r="530" spans="10:17" ht="14.25">
      <c r="J530" s="72">
        <v>26.1672025723473</v>
      </c>
      <c r="K530" s="72">
        <v>139.357823667248</v>
      </c>
      <c r="L530" s="72">
        <v>-59.8886814055804</v>
      </c>
      <c r="M530" s="72">
        <v>140.88324559674001</v>
      </c>
      <c r="N530" s="72">
        <v>0</v>
      </c>
      <c r="O530" s="72">
        <v>1.72058242499264</v>
      </c>
      <c r="P530" s="72">
        <v>1.73941605839416</v>
      </c>
      <c r="Q530" s="77">
        <v>0.53277857422532904</v>
      </c>
    </row>
    <row r="531" spans="10:17" ht="14.25">
      <c r="J531" s="72">
        <v>26.214362272240098</v>
      </c>
      <c r="K531" s="72">
        <v>139.38720549085099</v>
      </c>
      <c r="L531" s="72">
        <v>-60.095601825046899</v>
      </c>
      <c r="M531" s="72">
        <v>141.09016601620701</v>
      </c>
      <c r="N531" s="72">
        <v>0</v>
      </c>
      <c r="O531" s="72">
        <v>1.7209451879002</v>
      </c>
      <c r="P531" s="72">
        <v>1.7419708029197101</v>
      </c>
      <c r="Q531" s="77">
        <v>0.53193218723032598</v>
      </c>
    </row>
    <row r="532" spans="10:17" ht="14.25">
      <c r="J532" s="72">
        <v>26.267416934619501</v>
      </c>
      <c r="K532" s="72">
        <v>139.53480719544001</v>
      </c>
      <c r="L532" s="72">
        <v>-59.622640866266401</v>
      </c>
      <c r="M532" s="72">
        <v>140.61720505742599</v>
      </c>
      <c r="N532" s="72">
        <v>5.3578795655825396E-4</v>
      </c>
      <c r="O532" s="72">
        <v>1.7227675534634099</v>
      </c>
      <c r="P532" s="72">
        <v>1.73613138686131</v>
      </c>
      <c r="Q532" s="77">
        <v>0.53141971536539701</v>
      </c>
    </row>
    <row r="533" spans="10:17" ht="14.25">
      <c r="J533" s="72">
        <v>26.313504823151099</v>
      </c>
      <c r="K533" s="72">
        <v>139.800676868614</v>
      </c>
      <c r="L533" s="72">
        <v>-60.154721944894398</v>
      </c>
      <c r="M533" s="72">
        <v>141.149286136054</v>
      </c>
      <c r="N533" s="72">
        <v>-5.3578795655825396E-4</v>
      </c>
      <c r="O533" s="72">
        <v>1.72605011539617</v>
      </c>
      <c r="P533" s="72">
        <v>1.7427007299270101</v>
      </c>
      <c r="Q533" s="77">
        <v>0.53149933055638898</v>
      </c>
    </row>
    <row r="534" spans="10:17" ht="14.25">
      <c r="J534" s="72">
        <v>26.361736334405101</v>
      </c>
      <c r="K534" s="72">
        <v>139.74137957885699</v>
      </c>
      <c r="L534" s="72">
        <v>-60.0364817051993</v>
      </c>
      <c r="M534" s="72">
        <v>141.03104589635899</v>
      </c>
      <c r="N534" s="72">
        <v>5.3578795655825396E-4</v>
      </c>
      <c r="O534" s="72">
        <v>1.7253180009592399</v>
      </c>
      <c r="P534" s="72">
        <v>1.7412408759124101</v>
      </c>
      <c r="Q534" s="77">
        <v>0.53030196083390302</v>
      </c>
    </row>
    <row r="535" spans="10:17" ht="14.25">
      <c r="J535" s="72">
        <v>26.4147909967846</v>
      </c>
      <c r="K535" s="72">
        <v>139.74118663333101</v>
      </c>
      <c r="L535" s="72">
        <v>-60.066041765123103</v>
      </c>
      <c r="M535" s="72">
        <v>141.06060595628301</v>
      </c>
      <c r="N535" s="72">
        <v>0</v>
      </c>
      <c r="O535" s="72">
        <v>1.7253156187558401</v>
      </c>
      <c r="P535" s="72">
        <v>1.7416058394160601</v>
      </c>
      <c r="Q535" s="77">
        <v>0.52923610776517305</v>
      </c>
    </row>
    <row r="536" spans="10:17" ht="14.25">
      <c r="J536" s="72">
        <v>26.465166130760998</v>
      </c>
      <c r="K536" s="72">
        <v>139.91836567440899</v>
      </c>
      <c r="L536" s="72">
        <v>-60.361642364360897</v>
      </c>
      <c r="M536" s="72">
        <v>141.356206555521</v>
      </c>
      <c r="N536" s="72">
        <v>1.0715759131165101E-3</v>
      </c>
      <c r="O536" s="72">
        <v>1.7275031611279399</v>
      </c>
      <c r="P536" s="72">
        <v>1.7452554744525499</v>
      </c>
      <c r="Q536" s="77">
        <v>0.52889821320287</v>
      </c>
    </row>
    <row r="537" spans="10:17" ht="14.25">
      <c r="J537" s="72">
        <v>26.515541264737401</v>
      </c>
      <c r="K537" s="72">
        <v>139.59302553035499</v>
      </c>
      <c r="L537" s="72">
        <v>-60.243402124665799</v>
      </c>
      <c r="M537" s="72">
        <v>141.23796631582599</v>
      </c>
      <c r="N537" s="72">
        <v>5.3578795655825396E-4</v>
      </c>
      <c r="O537" s="72">
        <v>1.72348634657622</v>
      </c>
      <c r="P537" s="72">
        <v>1.7437956204379601</v>
      </c>
      <c r="Q537" s="77">
        <v>0.52666641517300905</v>
      </c>
    </row>
    <row r="538" spans="10:17" ht="14.25">
      <c r="J538" s="72">
        <v>26.558949624865999</v>
      </c>
      <c r="K538" s="72">
        <v>139.68155251835199</v>
      </c>
      <c r="L538" s="72">
        <v>-60.125161884970602</v>
      </c>
      <c r="M538" s="72">
        <v>141.119726076131</v>
      </c>
      <c r="N538" s="72">
        <v>0</v>
      </c>
      <c r="O538" s="72">
        <v>1.7245793457037599</v>
      </c>
      <c r="P538" s="72">
        <v>1.7423357664233601</v>
      </c>
      <c r="Q538" s="77">
        <v>0.52613894602171896</v>
      </c>
    </row>
    <row r="539" spans="10:17" ht="14.25">
      <c r="J539" s="72">
        <v>26.616827438370802</v>
      </c>
      <c r="K539" s="72">
        <v>139.79959062021101</v>
      </c>
      <c r="L539" s="72">
        <v>-60.0364817051993</v>
      </c>
      <c r="M539" s="72">
        <v>141.03104589635899</v>
      </c>
      <c r="N539" s="72">
        <v>1.0715759131165101E-3</v>
      </c>
      <c r="O539" s="72">
        <v>1.7260367040220399</v>
      </c>
      <c r="P539" s="72">
        <v>1.7412408759124101</v>
      </c>
      <c r="Q539" s="77">
        <v>0.52543833804532802</v>
      </c>
    </row>
    <row r="540" spans="10:17" ht="14.25">
      <c r="J540" s="72">
        <v>26.6602357984995</v>
      </c>
      <c r="K540" s="72">
        <v>139.85856072508</v>
      </c>
      <c r="L540" s="72">
        <v>-59.918241465504202</v>
      </c>
      <c r="M540" s="72">
        <v>140.91280565666401</v>
      </c>
      <c r="N540" s="72">
        <v>0</v>
      </c>
      <c r="O540" s="72">
        <v>1.7267647788682601</v>
      </c>
      <c r="P540" s="72">
        <v>1.73978102189781</v>
      </c>
      <c r="Q540" s="77">
        <v>0.52480400734232002</v>
      </c>
    </row>
    <row r="541" spans="10:17" ht="14.25">
      <c r="J541" s="72">
        <v>26.715969989281898</v>
      </c>
      <c r="K541" s="72">
        <v>140.153970708754</v>
      </c>
      <c r="L541" s="72">
        <v>-60.361642364360897</v>
      </c>
      <c r="M541" s="72">
        <v>141.356206555521</v>
      </c>
      <c r="N541" s="72">
        <v>5.3578795655825396E-4</v>
      </c>
      <c r="O541" s="72">
        <v>1.73041206046826</v>
      </c>
      <c r="P541" s="72">
        <v>1.7452554744525499</v>
      </c>
      <c r="Q541" s="77">
        <v>0.52481491735977204</v>
      </c>
    </row>
    <row r="542" spans="10:17" ht="14.25">
      <c r="J542" s="72">
        <v>26.765809217577701</v>
      </c>
      <c r="K542" s="72">
        <v>139.917321675972</v>
      </c>
      <c r="L542" s="72">
        <v>-60.066041765123103</v>
      </c>
      <c r="M542" s="72">
        <v>141.06060595628301</v>
      </c>
      <c r="N542" s="72">
        <v>0</v>
      </c>
      <c r="O542" s="72">
        <v>1.72749027139334</v>
      </c>
      <c r="P542" s="72">
        <v>1.7416058394160601</v>
      </c>
      <c r="Q542" s="77">
        <v>0.52295353990794402</v>
      </c>
    </row>
    <row r="543" spans="10:17" ht="14.25">
      <c r="J543" s="72">
        <v>26.814040728831699</v>
      </c>
      <c r="K543" s="72">
        <v>139.769359969026</v>
      </c>
      <c r="L543" s="72">
        <v>-59.977361585351701</v>
      </c>
      <c r="M543" s="72">
        <v>140.97192577651199</v>
      </c>
      <c r="N543" s="72">
        <v>1.0715759131165101E-3</v>
      </c>
      <c r="O543" s="72">
        <v>1.7256634610582999</v>
      </c>
      <c r="P543" s="72">
        <v>1.74051094890511</v>
      </c>
      <c r="Q543" s="77">
        <v>0.52146107517110196</v>
      </c>
    </row>
    <row r="544" spans="10:17" ht="14.25">
      <c r="J544" s="72">
        <v>26.858520900321501</v>
      </c>
      <c r="K544" s="72">
        <v>140.18305344436499</v>
      </c>
      <c r="L544" s="72">
        <v>-60.095601825046899</v>
      </c>
      <c r="M544" s="72">
        <v>141.09016601620701</v>
      </c>
      <c r="N544" s="72">
        <v>1.0715759131165101E-3</v>
      </c>
      <c r="O544" s="72">
        <v>1.73077113068366</v>
      </c>
      <c r="P544" s="72">
        <v>1.7419708029197101</v>
      </c>
      <c r="Q544" s="77">
        <v>0.52213775686747799</v>
      </c>
    </row>
    <row r="545" spans="10:17" ht="14.25">
      <c r="J545" s="72">
        <v>26.9094319399786</v>
      </c>
      <c r="K545" s="72">
        <v>140.30112676939601</v>
      </c>
      <c r="L545" s="72">
        <v>-60.066041765123103</v>
      </c>
      <c r="M545" s="72">
        <v>141.06060595628301</v>
      </c>
      <c r="N545" s="72">
        <v>0</v>
      </c>
      <c r="O545" s="72">
        <v>1.7322289238851101</v>
      </c>
      <c r="P545" s="72">
        <v>1.7416058394160601</v>
      </c>
      <c r="Q545" s="77">
        <v>0.52158868382959001</v>
      </c>
    </row>
    <row r="546" spans="10:17" ht="14.25">
      <c r="J546" s="72">
        <v>26.959807073955002</v>
      </c>
      <c r="K546" s="72">
        <v>140.12360309551201</v>
      </c>
      <c r="L546" s="72">
        <v>-59.622640866266401</v>
      </c>
      <c r="M546" s="72">
        <v>140.61720505742599</v>
      </c>
      <c r="N546" s="72">
        <v>1.0715759131165101E-3</v>
      </c>
      <c r="O546" s="72">
        <v>1.73003712650146</v>
      </c>
      <c r="P546" s="72">
        <v>1.73613138686131</v>
      </c>
      <c r="Q546" s="77">
        <v>0.51995560585183798</v>
      </c>
    </row>
    <row r="547" spans="10:17" ht="14.25">
      <c r="J547" s="72">
        <v>27.010718113612</v>
      </c>
      <c r="K547" s="72">
        <v>140.03475972694901</v>
      </c>
      <c r="L547" s="72">
        <v>-59.327040267028501</v>
      </c>
      <c r="M547" s="72">
        <v>140.321604458189</v>
      </c>
      <c r="N547" s="72">
        <v>5.3578795655825396E-4</v>
      </c>
      <c r="O547" s="72">
        <v>1.72894022117885</v>
      </c>
      <c r="P547" s="72">
        <v>1.7324817518248199</v>
      </c>
      <c r="Q547" s="77">
        <v>0.51864665074827299</v>
      </c>
    </row>
    <row r="548" spans="10:17" ht="14.25">
      <c r="J548" s="72">
        <v>27.060557341907799</v>
      </c>
      <c r="K548" s="72">
        <v>140.00504172785199</v>
      </c>
      <c r="L548" s="72">
        <v>-59.740881105961499</v>
      </c>
      <c r="M548" s="72">
        <v>140.735445297122</v>
      </c>
      <c r="N548" s="72">
        <v>5.3578795655825396E-4</v>
      </c>
      <c r="O548" s="72">
        <v>1.7285733076780101</v>
      </c>
      <c r="P548" s="72">
        <v>1.73759124087591</v>
      </c>
      <c r="Q548" s="77">
        <v>0.517581604364454</v>
      </c>
    </row>
    <row r="549" spans="10:17" ht="14.25">
      <c r="J549" s="72">
        <v>27.114683815648402</v>
      </c>
      <c r="K549" s="72">
        <v>140.15267253512499</v>
      </c>
      <c r="L549" s="72">
        <v>-59.652200926190098</v>
      </c>
      <c r="M549" s="72">
        <v>140.64676511734999</v>
      </c>
      <c r="N549" s="72">
        <v>5.3578795655825396E-4</v>
      </c>
      <c r="O549" s="72">
        <v>1.7303960325577199</v>
      </c>
      <c r="P549" s="72">
        <v>1.73649635036496</v>
      </c>
      <c r="Q549" s="77">
        <v>0.517092873369835</v>
      </c>
    </row>
    <row r="550" spans="10:17" ht="14.25">
      <c r="J550" s="72">
        <v>27.1650589496249</v>
      </c>
      <c r="K550" s="72">
        <v>140.56635753054999</v>
      </c>
      <c r="L550" s="72">
        <v>-59.770441165885202</v>
      </c>
      <c r="M550" s="72">
        <v>140.765005357045</v>
      </c>
      <c r="N550" s="72">
        <v>0</v>
      </c>
      <c r="O550" s="72">
        <v>1.73550359748577</v>
      </c>
      <c r="P550" s="72">
        <v>1.73795620437956</v>
      </c>
      <c r="Q550" s="77">
        <v>0.51765682858880402</v>
      </c>
    </row>
    <row r="551" spans="10:17" ht="14.25">
      <c r="J551" s="72">
        <v>27.209539121114702</v>
      </c>
      <c r="K551" s="72">
        <v>140.329740968935</v>
      </c>
      <c r="L551" s="72">
        <v>-59.474840566647401</v>
      </c>
      <c r="M551" s="72">
        <v>140.46940475780701</v>
      </c>
      <c r="N551" s="72">
        <v>0</v>
      </c>
      <c r="O551" s="72">
        <v>1.7325822093163501</v>
      </c>
      <c r="P551" s="72">
        <v>1.7343065693430699</v>
      </c>
      <c r="Q551" s="77">
        <v>0.51594099207785704</v>
      </c>
    </row>
    <row r="552" spans="10:17" ht="14.25">
      <c r="J552" s="72">
        <v>27.263665594855301</v>
      </c>
      <c r="K552" s="72">
        <v>140.38869742294699</v>
      </c>
      <c r="L552" s="72">
        <v>-59.445280506723698</v>
      </c>
      <c r="M552" s="72">
        <v>140.43984469788401</v>
      </c>
      <c r="N552" s="72">
        <v>1.0715759131165101E-3</v>
      </c>
      <c r="O552" s="72">
        <v>1.73331011562218</v>
      </c>
      <c r="P552" s="72">
        <v>1.7339416058394199</v>
      </c>
      <c r="Q552" s="77">
        <v>0.51513294148460498</v>
      </c>
    </row>
    <row r="553" spans="10:17" ht="14.25">
      <c r="J553" s="72">
        <v>27.314040728831699</v>
      </c>
      <c r="K553" s="72">
        <v>140.240746702514</v>
      </c>
      <c r="L553" s="72">
        <v>-59.6817609861139</v>
      </c>
      <c r="M553" s="72">
        <v>140.67632517727401</v>
      </c>
      <c r="N553" s="72">
        <v>5.3578795655825396E-4</v>
      </c>
      <c r="O553" s="72">
        <v>1.7314834409322</v>
      </c>
      <c r="P553" s="72">
        <v>1.73686131386861</v>
      </c>
      <c r="Q553" s="77">
        <v>0.51364121920920902</v>
      </c>
    </row>
    <row r="554" spans="10:17" ht="14.25">
      <c r="J554" s="72">
        <v>27.369239013933498</v>
      </c>
      <c r="K554" s="72">
        <v>140.68398488387299</v>
      </c>
      <c r="L554" s="72">
        <v>-60.0364817051993</v>
      </c>
      <c r="M554" s="72">
        <v>141.03104589635899</v>
      </c>
      <c r="N554" s="72">
        <v>5.3578795655825396E-4</v>
      </c>
      <c r="O554" s="72">
        <v>1.73695588449413</v>
      </c>
      <c r="P554" s="72">
        <v>1.7412408759124101</v>
      </c>
      <c r="Q554" s="77">
        <v>0.51422478324874199</v>
      </c>
    </row>
    <row r="555" spans="10:17" ht="14.25">
      <c r="J555" s="72">
        <v>27.406216505894999</v>
      </c>
      <c r="K555" s="72">
        <v>140.38827651108301</v>
      </c>
      <c r="L555" s="72">
        <v>-59.859121345656597</v>
      </c>
      <c r="M555" s="72">
        <v>140.85368553681701</v>
      </c>
      <c r="N555" s="72">
        <v>5.3578795655825396E-4</v>
      </c>
      <c r="O555" s="72">
        <v>1.73330491883066</v>
      </c>
      <c r="P555" s="72">
        <v>1.73905109489051</v>
      </c>
      <c r="Q555" s="77">
        <v>0.51245198910703804</v>
      </c>
    </row>
    <row r="556" spans="10:17" ht="14.25">
      <c r="J556" s="72">
        <v>27.459807073955002</v>
      </c>
      <c r="K556" s="72">
        <v>140.38812207100301</v>
      </c>
      <c r="L556" s="72">
        <v>-59.800001225808998</v>
      </c>
      <c r="M556" s="72">
        <v>140.79456541696899</v>
      </c>
      <c r="N556" s="72">
        <v>5.3578795655825396E-4</v>
      </c>
      <c r="O556" s="72">
        <v>1.7333030120350399</v>
      </c>
      <c r="P556" s="72">
        <v>1.73832116788321</v>
      </c>
      <c r="Q556" s="77">
        <v>0.51145132522277403</v>
      </c>
    </row>
    <row r="557" spans="10:17" ht="14.25">
      <c r="J557" s="72">
        <v>27.511254019292601</v>
      </c>
      <c r="K557" s="72">
        <v>140.74269647988001</v>
      </c>
      <c r="L557" s="72">
        <v>-60.095601825046899</v>
      </c>
      <c r="M557" s="72">
        <v>141.09016601620701</v>
      </c>
      <c r="N557" s="72">
        <v>5.3578795655825396E-4</v>
      </c>
      <c r="O557" s="72">
        <v>1.73768076765874</v>
      </c>
      <c r="P557" s="72">
        <v>1.7419708029197101</v>
      </c>
      <c r="Q557" s="77">
        <v>0.51178372855523402</v>
      </c>
    </row>
    <row r="558" spans="10:17" ht="14.25">
      <c r="J558" s="72">
        <v>27.562165058949599</v>
      </c>
      <c r="K558" s="72">
        <v>140.83123375615801</v>
      </c>
      <c r="L558" s="72">
        <v>-60.332082304437101</v>
      </c>
      <c r="M558" s="72">
        <v>141.326646495597</v>
      </c>
      <c r="N558" s="72">
        <v>5.3578795655825396E-4</v>
      </c>
      <c r="O558" s="72">
        <v>1.7387738938106201</v>
      </c>
      <c r="P558" s="72">
        <v>1.7448905109489099</v>
      </c>
      <c r="Q558" s="77">
        <v>0.51115962250131097</v>
      </c>
    </row>
    <row r="559" spans="10:17" ht="14.25">
      <c r="J559" s="72">
        <v>27.612540192926001</v>
      </c>
      <c r="K559" s="72">
        <v>140.41725336130401</v>
      </c>
      <c r="L559" s="72">
        <v>-59.267920147181002</v>
      </c>
      <c r="M559" s="72">
        <v>140.26248433834101</v>
      </c>
      <c r="N559" s="72">
        <v>0</v>
      </c>
      <c r="O559" s="72">
        <v>1.7336626817312999</v>
      </c>
      <c r="P559" s="72">
        <v>1.7317518248175201</v>
      </c>
      <c r="Q559" s="77">
        <v>0.50872783703416202</v>
      </c>
    </row>
    <row r="560" spans="10:17" ht="14.25">
      <c r="J560" s="72">
        <v>27.658092175777099</v>
      </c>
      <c r="K560" s="72">
        <v>140.41712874576501</v>
      </c>
      <c r="L560" s="72">
        <v>-59.060999727714503</v>
      </c>
      <c r="M560" s="72">
        <v>140.05556391887501</v>
      </c>
      <c r="N560" s="72">
        <v>0</v>
      </c>
      <c r="O560" s="72">
        <v>1.7336611431646001</v>
      </c>
      <c r="P560" s="72">
        <v>1.7291970802919701</v>
      </c>
      <c r="Q560" s="77">
        <v>0.50788952819076905</v>
      </c>
    </row>
    <row r="561" spans="10:17" ht="14.25">
      <c r="J561" s="72">
        <v>27.710075026795302</v>
      </c>
      <c r="K561" s="72">
        <v>140.21006794968201</v>
      </c>
      <c r="L561" s="72">
        <v>-59.622640866266401</v>
      </c>
      <c r="M561" s="72">
        <v>140.61720505742599</v>
      </c>
      <c r="N561" s="72">
        <v>5.3578795655825396E-4</v>
      </c>
      <c r="O561" s="72">
        <v>1.7311046654780999</v>
      </c>
      <c r="P561" s="72">
        <v>1.73613138686131</v>
      </c>
      <c r="Q561" s="77">
        <v>0.50618951022833603</v>
      </c>
    </row>
    <row r="562" spans="10:17" ht="14.25">
      <c r="J562" s="72">
        <v>27.7609860664523</v>
      </c>
      <c r="K562" s="72">
        <v>141.244534457268</v>
      </c>
      <c r="L562" s="72">
        <v>-60.568562783827304</v>
      </c>
      <c r="M562" s="72">
        <v>141.563126974987</v>
      </c>
      <c r="N562" s="72">
        <v>1.0715759131165101E-3</v>
      </c>
      <c r="O562" s="72">
        <v>1.7438767140460001</v>
      </c>
      <c r="P562" s="72">
        <v>1.7478102189781</v>
      </c>
      <c r="Q562" s="77">
        <v>0.50898753823582199</v>
      </c>
    </row>
    <row r="563" spans="10:17" ht="14.25">
      <c r="J563" s="72">
        <v>27.810825294748099</v>
      </c>
      <c r="K563" s="72">
        <v>140.978362996795</v>
      </c>
      <c r="L563" s="72">
        <v>-60.006921645275497</v>
      </c>
      <c r="M563" s="72">
        <v>141.00148583643599</v>
      </c>
      <c r="N563" s="72">
        <v>5.3578795655825396E-4</v>
      </c>
      <c r="O563" s="72">
        <v>1.7405904260940701</v>
      </c>
      <c r="P563" s="72">
        <v>1.7408759124087601</v>
      </c>
      <c r="Q563" s="77">
        <v>0.50711831315478795</v>
      </c>
    </row>
    <row r="564" spans="10:17" ht="14.25">
      <c r="J564" s="72">
        <v>27.859056806002101</v>
      </c>
      <c r="K564" s="72">
        <v>141.33295872684201</v>
      </c>
      <c r="L564" s="72">
        <v>-60.568562783827304</v>
      </c>
      <c r="M564" s="72">
        <v>141.563126974987</v>
      </c>
      <c r="N564" s="72">
        <v>1.0715759131165101E-3</v>
      </c>
      <c r="O564" s="72">
        <v>1.74496844495976</v>
      </c>
      <c r="P564" s="72">
        <v>1.7478102189781</v>
      </c>
      <c r="Q564" s="77">
        <v>0.50751317542357599</v>
      </c>
    </row>
    <row r="565" spans="10:17" ht="14.25">
      <c r="J565" s="72">
        <v>27.908360128617399</v>
      </c>
      <c r="K565" s="72">
        <v>140.80075161892901</v>
      </c>
      <c r="L565" s="72">
        <v>-60.361642364360897</v>
      </c>
      <c r="M565" s="72">
        <v>141.356206555521</v>
      </c>
      <c r="N565" s="72">
        <v>5.3578795655825396E-4</v>
      </c>
      <c r="O565" s="72">
        <v>1.73839754587255</v>
      </c>
      <c r="P565" s="72">
        <v>1.7452554744525499</v>
      </c>
      <c r="Q565" s="77">
        <v>0.50470961418780003</v>
      </c>
    </row>
    <row r="566" spans="10:17" ht="14.25">
      <c r="J566" s="72">
        <v>27.956055734190802</v>
      </c>
      <c r="K566" s="72">
        <v>141.06667191001199</v>
      </c>
      <c r="L566" s="72">
        <v>-60.657242963598698</v>
      </c>
      <c r="M566" s="72">
        <v>141.65180715475901</v>
      </c>
      <c r="N566" s="72">
        <v>5.3578795655825396E-4</v>
      </c>
      <c r="O566" s="72">
        <v>1.7416807327596899</v>
      </c>
      <c r="P566" s="72">
        <v>1.74890510948905</v>
      </c>
      <c r="Q566" s="77">
        <v>0.50479974129459804</v>
      </c>
    </row>
    <row r="567" spans="10:17" ht="14.25">
      <c r="J567" s="72">
        <v>28.016613076098601</v>
      </c>
      <c r="K567" s="72">
        <v>140.97784142384899</v>
      </c>
      <c r="L567" s="72">
        <v>-59.947801525427998</v>
      </c>
      <c r="M567" s="72">
        <v>140.942365716588</v>
      </c>
      <c r="N567" s="72">
        <v>1.0715759131165101E-3</v>
      </c>
      <c r="O567" s="72">
        <v>1.7405839864897501</v>
      </c>
      <c r="P567" s="72">
        <v>1.74014598540146</v>
      </c>
      <c r="Q567" s="77">
        <v>0.50339156325974299</v>
      </c>
    </row>
    <row r="568" spans="10:17" ht="14.25">
      <c r="J568" s="72">
        <v>28.057877813504799</v>
      </c>
      <c r="K568" s="72">
        <v>141.06642070039899</v>
      </c>
      <c r="L568" s="72">
        <v>-60.686803023522501</v>
      </c>
      <c r="M568" s="72">
        <v>141.68136721468201</v>
      </c>
      <c r="N568" s="72">
        <v>0</v>
      </c>
      <c r="O568" s="72">
        <v>1.74167763119831</v>
      </c>
      <c r="P568" s="72">
        <v>1.7492700729927</v>
      </c>
      <c r="Q568" s="77">
        <v>0.50296692697418099</v>
      </c>
    </row>
    <row r="569" spans="10:17" ht="14.25">
      <c r="J569" s="72">
        <v>28.107181136120001</v>
      </c>
      <c r="K569" s="72">
        <v>140.77070115466299</v>
      </c>
      <c r="L569" s="72">
        <v>-60.598122843751099</v>
      </c>
      <c r="M569" s="72">
        <v>141.59268703491099</v>
      </c>
      <c r="N569" s="72">
        <v>5.3578795655825396E-4</v>
      </c>
      <c r="O569" s="72">
        <v>1.73802652758797</v>
      </c>
      <c r="P569" s="72">
        <v>1.74817518248175</v>
      </c>
      <c r="Q569" s="77">
        <v>0.50103254960009802</v>
      </c>
    </row>
    <row r="570" spans="10:17" ht="14.25">
      <c r="J570" s="72">
        <v>28.156484458735299</v>
      </c>
      <c r="K570" s="72">
        <v>141.302665043171</v>
      </c>
      <c r="L570" s="72">
        <v>-60.598122843751099</v>
      </c>
      <c r="M570" s="72">
        <v>141.59268703491099</v>
      </c>
      <c r="N570" s="72">
        <v>0</v>
      </c>
      <c r="O570" s="72">
        <v>1.74459442376496</v>
      </c>
      <c r="P570" s="72">
        <v>1.74817518248175</v>
      </c>
      <c r="Q570" s="77">
        <v>0.50204453032016705</v>
      </c>
    </row>
    <row r="571" spans="10:17" ht="14.25">
      <c r="J571" s="72">
        <v>28.204180064308702</v>
      </c>
      <c r="K571" s="72">
        <v>141.33211340579501</v>
      </c>
      <c r="L571" s="72">
        <v>-60.361642364360897</v>
      </c>
      <c r="M571" s="72">
        <v>141.356206555521</v>
      </c>
      <c r="N571" s="72">
        <v>5.3578795655825396E-4</v>
      </c>
      <c r="O571" s="72">
        <v>1.7449580081970499</v>
      </c>
      <c r="P571" s="72">
        <v>1.7452554744525499</v>
      </c>
      <c r="Q571" s="77">
        <v>0.50129994275945</v>
      </c>
    </row>
    <row r="572" spans="10:17" ht="14.25">
      <c r="J572" s="72">
        <v>28.2572347266881</v>
      </c>
      <c r="K572" s="72">
        <v>141.42067126910999</v>
      </c>
      <c r="L572" s="72">
        <v>-60.479882604056002</v>
      </c>
      <c r="M572" s="72">
        <v>141.47444679521601</v>
      </c>
      <c r="N572" s="72">
        <v>5.3578795655825396E-4</v>
      </c>
      <c r="O572" s="72">
        <v>1.74605138852695</v>
      </c>
      <c r="P572" s="72">
        <v>1.7467153284671499</v>
      </c>
      <c r="Q572" s="77">
        <v>0.50067212078557499</v>
      </c>
    </row>
    <row r="573" spans="10:17" ht="14.25">
      <c r="J573" s="72">
        <v>28.310289389067499</v>
      </c>
      <c r="K573" s="72">
        <v>141.036270207467</v>
      </c>
      <c r="L573" s="72">
        <v>-60.006921645275497</v>
      </c>
      <c r="M573" s="72">
        <v>141.00148583643599</v>
      </c>
      <c r="N573" s="72">
        <v>5.3578795655825396E-4</v>
      </c>
      <c r="O573" s="72">
        <v>1.7413053779090499</v>
      </c>
      <c r="P573" s="72">
        <v>1.7408759124087601</v>
      </c>
      <c r="Q573" s="77">
        <v>0.49837602640087603</v>
      </c>
    </row>
    <row r="574" spans="10:17" ht="14.25">
      <c r="J574" s="72">
        <v>28.362272240085701</v>
      </c>
      <c r="K574" s="72">
        <v>141.09527444723699</v>
      </c>
      <c r="L574" s="72">
        <v>-60.154721944894398</v>
      </c>
      <c r="M574" s="72">
        <v>141.149286136054</v>
      </c>
      <c r="N574" s="72">
        <v>1.0715759131165101E-3</v>
      </c>
      <c r="O574" s="72">
        <v>1.7420338742021</v>
      </c>
      <c r="P574" s="72">
        <v>1.7427007299270101</v>
      </c>
      <c r="Q574" s="77">
        <v>0.49767063218615998</v>
      </c>
    </row>
    <row r="575" spans="10:17" ht="14.25">
      <c r="J575" s="72">
        <v>28.406216505894999</v>
      </c>
      <c r="K575" s="72">
        <v>141.53857890854499</v>
      </c>
      <c r="L575" s="72">
        <v>-60.864163383065097</v>
      </c>
      <c r="M575" s="72">
        <v>141.85872757422499</v>
      </c>
      <c r="N575" s="72">
        <v>0</v>
      </c>
      <c r="O575" s="72">
        <v>1.7475071360899099</v>
      </c>
      <c r="P575" s="72">
        <v>1.7514598540146</v>
      </c>
      <c r="Q575" s="77">
        <v>0.49846132796853698</v>
      </c>
    </row>
    <row r="576" spans="10:17" ht="14.25">
      <c r="J576" s="72">
        <v>28.451768488746001</v>
      </c>
      <c r="K576" s="72">
        <v>141.62716059537701</v>
      </c>
      <c r="L576" s="72">
        <v>-60.243402124665799</v>
      </c>
      <c r="M576" s="72">
        <v>141.23796631582599</v>
      </c>
      <c r="N576" s="72">
        <v>5.3578795655825396E-4</v>
      </c>
      <c r="O576" s="72">
        <v>1.7486008105570501</v>
      </c>
      <c r="P576" s="72">
        <v>1.7437956204379601</v>
      </c>
      <c r="Q576" s="77">
        <v>0.497974618919652</v>
      </c>
    </row>
    <row r="577" spans="10:17" ht="14.25">
      <c r="J577" s="72">
        <v>28.5064308681672</v>
      </c>
      <c r="K577" s="72">
        <v>141.56792426304199</v>
      </c>
      <c r="L577" s="72">
        <v>-60.184282004818201</v>
      </c>
      <c r="M577" s="72">
        <v>141.178846195978</v>
      </c>
      <c r="N577" s="72">
        <v>1.0715759131165101E-3</v>
      </c>
      <c r="O577" s="72">
        <v>1.7478694487313799</v>
      </c>
      <c r="P577" s="72">
        <v>1.7430656934306601</v>
      </c>
      <c r="Q577" s="77">
        <v>0.49681193001803597</v>
      </c>
    </row>
    <row r="578" spans="10:17" ht="14.25">
      <c r="J578" s="72">
        <v>28.564308681671999</v>
      </c>
      <c r="K578" s="72">
        <v>141.42000326808801</v>
      </c>
      <c r="L578" s="72">
        <v>-60.272962184589502</v>
      </c>
      <c r="M578" s="72">
        <v>141.26752637575001</v>
      </c>
      <c r="N578" s="72">
        <v>5.3578795655825396E-4</v>
      </c>
      <c r="O578" s="72">
        <v>1.7460431410472701</v>
      </c>
      <c r="P578" s="72">
        <v>1.7441605839416101</v>
      </c>
      <c r="Q578" s="77">
        <v>0.49528742304630202</v>
      </c>
    </row>
    <row r="579" spans="10:17" ht="14.25">
      <c r="J579" s="72">
        <v>28.603429796355801</v>
      </c>
      <c r="K579" s="72">
        <v>141.86332395676399</v>
      </c>
      <c r="L579" s="72">
        <v>-60.657242963598698</v>
      </c>
      <c r="M579" s="72">
        <v>141.65180715475901</v>
      </c>
      <c r="N579" s="72">
        <v>5.3578795655825396E-4</v>
      </c>
      <c r="O579" s="72">
        <v>1.75151660328641</v>
      </c>
      <c r="P579" s="72">
        <v>1.74890510948905</v>
      </c>
      <c r="Q579" s="77">
        <v>0.49615990138078298</v>
      </c>
    </row>
    <row r="580" spans="10:17" ht="14.25">
      <c r="J580" s="72">
        <v>28.658628081457699</v>
      </c>
      <c r="K580" s="72">
        <v>141.86321266438</v>
      </c>
      <c r="L580" s="72">
        <v>-60.450322544132199</v>
      </c>
      <c r="M580" s="72">
        <v>141.44488673529199</v>
      </c>
      <c r="N580" s="72">
        <v>5.3578795655825396E-4</v>
      </c>
      <c r="O580" s="72">
        <v>1.75151522921416</v>
      </c>
      <c r="P580" s="72">
        <v>1.7463503649634999</v>
      </c>
      <c r="Q580" s="77">
        <v>0.49520387847372199</v>
      </c>
    </row>
    <row r="581" spans="10:17" ht="14.25">
      <c r="J581" s="72">
        <v>28.704715969989302</v>
      </c>
      <c r="K581" s="72">
        <v>141.833561367166</v>
      </c>
      <c r="L581" s="72">
        <v>-60.5390027239036</v>
      </c>
      <c r="M581" s="72">
        <v>141.533566915064</v>
      </c>
      <c r="N581" s="72">
        <v>5.3578795655825396E-4</v>
      </c>
      <c r="O581" s="72">
        <v>1.75114913924861</v>
      </c>
      <c r="P581" s="72">
        <v>1.74744525547445</v>
      </c>
      <c r="Q581" s="77">
        <v>0.49430548843565603</v>
      </c>
    </row>
    <row r="582" spans="10:17" ht="14.25">
      <c r="J582" s="72">
        <v>28.7572347266881</v>
      </c>
      <c r="K582" s="72">
        <v>141.89257938986299</v>
      </c>
      <c r="L582" s="72">
        <v>-60.332082304437101</v>
      </c>
      <c r="M582" s="72">
        <v>141.326646495597</v>
      </c>
      <c r="N582" s="72">
        <v>1.0715759131165101E-3</v>
      </c>
      <c r="O582" s="72">
        <v>1.75187780571267</v>
      </c>
      <c r="P582" s="72">
        <v>1.7448905109489099</v>
      </c>
      <c r="Q582" s="77">
        <v>0.493607976745016</v>
      </c>
    </row>
    <row r="583" spans="10:17" ht="14.25">
      <c r="J583" s="72">
        <v>28.812968917470499</v>
      </c>
      <c r="K583" s="72">
        <v>142.06983358111199</v>
      </c>
      <c r="L583" s="72">
        <v>-60.805043263217598</v>
      </c>
      <c r="M583" s="72">
        <v>141.79960745437799</v>
      </c>
      <c r="N583" s="72">
        <v>1.0715759131165101E-3</v>
      </c>
      <c r="O583" s="72">
        <v>1.7540662759269201</v>
      </c>
      <c r="P583" s="72">
        <v>1.7507299270073</v>
      </c>
      <c r="Q583" s="77">
        <v>0.49326835808055902</v>
      </c>
    </row>
    <row r="584" spans="10:17" ht="14.25">
      <c r="J584" s="72">
        <v>28.857449088960301</v>
      </c>
      <c r="K584" s="72">
        <v>141.71502974195499</v>
      </c>
      <c r="L584" s="72">
        <v>-60.184282004818201</v>
      </c>
      <c r="M584" s="72">
        <v>141.178846195978</v>
      </c>
      <c r="N584" s="72">
        <v>5.3578795655825396E-4</v>
      </c>
      <c r="O584" s="72">
        <v>1.74968568764053</v>
      </c>
      <c r="P584" s="72">
        <v>1.7430656934306601</v>
      </c>
      <c r="Q584" s="77">
        <v>0.49127854100086399</v>
      </c>
    </row>
    <row r="585" spans="10:17" ht="14.25">
      <c r="J585" s="72">
        <v>28.904072883172599</v>
      </c>
      <c r="K585" s="72">
        <v>142.33570540904401</v>
      </c>
      <c r="L585" s="72">
        <v>-60.3912024242846</v>
      </c>
      <c r="M585" s="72">
        <v>141.38576661544499</v>
      </c>
      <c r="N585" s="72">
        <v>5.3578795655825396E-4</v>
      </c>
      <c r="O585" s="72">
        <v>1.7573488644634101</v>
      </c>
      <c r="P585" s="72">
        <v>1.7456204379561999</v>
      </c>
      <c r="Q585" s="77">
        <v>0.49263344683959298</v>
      </c>
    </row>
    <row r="586" spans="10:17" ht="14.25">
      <c r="J586" s="72">
        <v>28.958735262593802</v>
      </c>
      <c r="K586" s="72">
        <v>142.217366821121</v>
      </c>
      <c r="L586" s="72">
        <v>-60.775483203293803</v>
      </c>
      <c r="M586" s="72">
        <v>141.770047394454</v>
      </c>
      <c r="N586" s="72">
        <v>1.0715759131165101E-3</v>
      </c>
      <c r="O586" s="72">
        <v>1.7558877961916799</v>
      </c>
      <c r="P586" s="72">
        <v>1.75036496350365</v>
      </c>
      <c r="Q586" s="77">
        <v>0.49129490857721603</v>
      </c>
    </row>
    <row r="587" spans="10:17" ht="14.25">
      <c r="J587" s="72">
        <v>29.0069667738478</v>
      </c>
      <c r="K587" s="72">
        <v>142.128601656402</v>
      </c>
      <c r="L587" s="72">
        <v>-60.568562783827304</v>
      </c>
      <c r="M587" s="72">
        <v>141.563126974987</v>
      </c>
      <c r="N587" s="72">
        <v>5.3578795655825396E-4</v>
      </c>
      <c r="O587" s="72">
        <v>1.7547918564134299</v>
      </c>
      <c r="P587" s="72">
        <v>1.7478102189781</v>
      </c>
      <c r="Q587" s="77">
        <v>0.49017199170562697</v>
      </c>
    </row>
    <row r="588" spans="10:17" ht="14.25">
      <c r="J588" s="72">
        <v>29.056806002143599</v>
      </c>
      <c r="K588" s="72">
        <v>141.95115524490001</v>
      </c>
      <c r="L588" s="72">
        <v>-60.5390027239036</v>
      </c>
      <c r="M588" s="72">
        <v>141.533566915064</v>
      </c>
      <c r="N588" s="72">
        <v>5.3578795655825396E-4</v>
      </c>
      <c r="O588" s="72">
        <v>1.75260101295036</v>
      </c>
      <c r="P588" s="72">
        <v>1.74744525547445</v>
      </c>
      <c r="Q588" s="77">
        <v>0.48872054398126602</v>
      </c>
    </row>
    <row r="589" spans="10:17" ht="14.25">
      <c r="J589" s="72">
        <v>29.105037513397601</v>
      </c>
      <c r="K589" s="72">
        <v>142.48315475629701</v>
      </c>
      <c r="L589" s="72">
        <v>-60.982403622760302</v>
      </c>
      <c r="M589" s="72">
        <v>141.97696781392</v>
      </c>
      <c r="N589" s="72">
        <v>0</v>
      </c>
      <c r="O589" s="72">
        <v>1.7591693489456199</v>
      </c>
      <c r="P589" s="72">
        <v>1.7529197080292001</v>
      </c>
      <c r="Q589" s="77">
        <v>0.48973851967392601</v>
      </c>
    </row>
    <row r="590" spans="10:17" ht="14.25">
      <c r="J590" s="72">
        <v>29.152733118971099</v>
      </c>
      <c r="K590" s="72">
        <v>142.571755928074</v>
      </c>
      <c r="L590" s="72">
        <v>-61.100643862455399</v>
      </c>
      <c r="M590" s="72">
        <v>142.09520805361501</v>
      </c>
      <c r="N590" s="72">
        <v>5.3578795655825396E-4</v>
      </c>
      <c r="O590" s="72">
        <v>1.7602632639837601</v>
      </c>
      <c r="P590" s="72">
        <v>1.7543795620438001</v>
      </c>
      <c r="Q590" s="77">
        <v>0.48924119895851798</v>
      </c>
    </row>
    <row r="591" spans="10:17" ht="14.25">
      <c r="J591" s="72">
        <v>29.200964630225101</v>
      </c>
      <c r="K591" s="72">
        <v>142.305637164541</v>
      </c>
      <c r="L591" s="72">
        <v>-60.479882604056002</v>
      </c>
      <c r="M591" s="72">
        <v>141.47444679521601</v>
      </c>
      <c r="N591" s="72">
        <v>5.3578795655825396E-4</v>
      </c>
      <c r="O591" s="72">
        <v>1.7569776266549999</v>
      </c>
      <c r="P591" s="72">
        <v>1.7467153284671499</v>
      </c>
      <c r="Q591" s="77">
        <v>0.487521779090626</v>
      </c>
    </row>
    <row r="592" spans="10:17" ht="14.25">
      <c r="J592" s="72">
        <v>29.2540192926045</v>
      </c>
      <c r="K592" s="72">
        <v>142.68983383828399</v>
      </c>
      <c r="L592" s="72">
        <v>-61.159763982302998</v>
      </c>
      <c r="M592" s="72">
        <v>142.154328173463</v>
      </c>
      <c r="N592" s="72">
        <v>5.3578795655825396E-4</v>
      </c>
      <c r="O592" s="72">
        <v>1.7617211137961499</v>
      </c>
      <c r="P592" s="72">
        <v>1.7551094890510901</v>
      </c>
      <c r="Q592" s="77">
        <v>0.487950929145409</v>
      </c>
    </row>
    <row r="593" spans="10:17" ht="14.25">
      <c r="J593" s="72">
        <v>29.309217577706299</v>
      </c>
      <c r="K593" s="72">
        <v>142.74886861341599</v>
      </c>
      <c r="L593" s="72">
        <v>-61.514484701388298</v>
      </c>
      <c r="M593" s="72">
        <v>142.50904889254801</v>
      </c>
      <c r="N593" s="72">
        <v>0</v>
      </c>
      <c r="O593" s="72">
        <v>1.76244998709427</v>
      </c>
      <c r="P593" s="72">
        <v>1.75948905109489</v>
      </c>
      <c r="Q593" s="77">
        <v>0.48723338774623498</v>
      </c>
    </row>
    <row r="594" spans="10:17" ht="14.25">
      <c r="J594" s="72">
        <v>29.356913183279701</v>
      </c>
      <c r="K594" s="72">
        <v>142.630556402238</v>
      </c>
      <c r="L594" s="72">
        <v>-61.071083802531597</v>
      </c>
      <c r="M594" s="72">
        <v>142.06564799369201</v>
      </c>
      <c r="N594" s="72">
        <v>1.0715759131165101E-3</v>
      </c>
      <c r="O594" s="72">
        <v>1.76098924448321</v>
      </c>
      <c r="P594" s="72">
        <v>1.7540145985401501</v>
      </c>
      <c r="Q594" s="77">
        <v>0.486038776024524</v>
      </c>
    </row>
    <row r="595" spans="10:17" ht="14.25">
      <c r="J595" s="72">
        <v>29.404072883172599</v>
      </c>
      <c r="K595" s="72">
        <v>142.660046915447</v>
      </c>
      <c r="L595" s="72">
        <v>-60.509442663979797</v>
      </c>
      <c r="M595" s="72">
        <v>141.50400685514001</v>
      </c>
      <c r="N595" s="72">
        <v>5.3578795655825396E-4</v>
      </c>
      <c r="O595" s="72">
        <v>1.76135334932782</v>
      </c>
      <c r="P595" s="72">
        <v>1.7470802919707999</v>
      </c>
      <c r="Q595" s="77">
        <v>0.485359537077865</v>
      </c>
    </row>
    <row r="596" spans="10:17" ht="14.25">
      <c r="J596" s="72">
        <v>29.448017148981801</v>
      </c>
      <c r="K596" s="72">
        <v>142.630423496986</v>
      </c>
      <c r="L596" s="72">
        <v>-61.484924641464502</v>
      </c>
      <c r="M596" s="72">
        <v>142.47948883262501</v>
      </c>
      <c r="N596" s="72">
        <v>5.3578795655825396E-4</v>
      </c>
      <c r="O596" s="72">
        <v>1.76098760356752</v>
      </c>
      <c r="P596" s="72">
        <v>1.7591240875912399</v>
      </c>
      <c r="Q596" s="77">
        <v>0.48453465606011797</v>
      </c>
    </row>
    <row r="597" spans="10:17" ht="14.25">
      <c r="J597" s="72">
        <v>29.5016077170418</v>
      </c>
      <c r="K597" s="72">
        <v>142.80770847837599</v>
      </c>
      <c r="L597" s="72">
        <v>-61.218884102150497</v>
      </c>
      <c r="M597" s="72">
        <v>142.21344829331099</v>
      </c>
      <c r="N597" s="72">
        <v>5.3578795655825396E-4</v>
      </c>
      <c r="O597" s="72">
        <v>1.7631764539324799</v>
      </c>
      <c r="P597" s="72">
        <v>1.7558394160583899</v>
      </c>
      <c r="Q597" s="77">
        <v>0.48425541740292199</v>
      </c>
    </row>
    <row r="598" spans="10:17" ht="14.25">
      <c r="J598" s="72">
        <v>29.557341907824199</v>
      </c>
      <c r="K598" s="72">
        <v>142.92587252607601</v>
      </c>
      <c r="L598" s="72">
        <v>-61.573604821235897</v>
      </c>
      <c r="M598" s="72">
        <v>142.568169012396</v>
      </c>
      <c r="N598" s="72">
        <v>1.0715759131165101E-3</v>
      </c>
      <c r="O598" s="72">
        <v>1.7646353672420301</v>
      </c>
      <c r="P598" s="72">
        <v>1.76021897810219</v>
      </c>
      <c r="Q598" s="77">
        <v>0.48374207019131099</v>
      </c>
    </row>
    <row r="599" spans="10:17" ht="14.25">
      <c r="J599" s="72">
        <v>29.609324758842401</v>
      </c>
      <c r="K599" s="72">
        <v>142.71888306584799</v>
      </c>
      <c r="L599" s="72">
        <v>-60.805043263217598</v>
      </c>
      <c r="M599" s="72">
        <v>141.79960745437799</v>
      </c>
      <c r="N599" s="72">
        <v>1.0715759131165101E-3</v>
      </c>
      <c r="O599" s="72">
        <v>1.7620797703041999</v>
      </c>
      <c r="P599" s="72">
        <v>1.7507299270073</v>
      </c>
      <c r="Q599" s="77">
        <v>0.48219373234969698</v>
      </c>
    </row>
    <row r="600" spans="10:17" ht="14.25">
      <c r="J600" s="72">
        <v>29.650589496248699</v>
      </c>
      <c r="K600" s="72">
        <v>142.86662995003499</v>
      </c>
      <c r="L600" s="72">
        <v>-61.100643862455399</v>
      </c>
      <c r="M600" s="72">
        <v>142.09520805361501</v>
      </c>
      <c r="N600" s="72">
        <v>5.3578795655825396E-4</v>
      </c>
      <c r="O600" s="72">
        <v>1.7639039283284099</v>
      </c>
      <c r="P600" s="72">
        <v>1.7543795620438001</v>
      </c>
      <c r="Q600" s="77">
        <v>0.48202095638089798</v>
      </c>
    </row>
    <row r="601" spans="10:17" ht="14.25">
      <c r="J601" s="72">
        <v>29.704715969989302</v>
      </c>
      <c r="K601" s="72">
        <v>142.659641331492</v>
      </c>
      <c r="L601" s="72">
        <v>-61.337124341845701</v>
      </c>
      <c r="M601" s="72">
        <v>142.331688533006</v>
      </c>
      <c r="N601" s="72">
        <v>1.0715759131165101E-3</v>
      </c>
      <c r="O601" s="72">
        <v>1.76134834178245</v>
      </c>
      <c r="P601" s="72">
        <v>1.7572992700729899</v>
      </c>
      <c r="Q601" s="77">
        <v>0.48044582075127101</v>
      </c>
    </row>
    <row r="602" spans="10:17" ht="14.25">
      <c r="J602" s="72">
        <v>29.7556270096463</v>
      </c>
      <c r="K602" s="72">
        <v>142.92561965509299</v>
      </c>
      <c r="L602" s="72">
        <v>-60.479882604056002</v>
      </c>
      <c r="M602" s="72">
        <v>141.47444679521601</v>
      </c>
      <c r="N602" s="72">
        <v>5.3578795655825396E-4</v>
      </c>
      <c r="O602" s="72">
        <v>1.7646322451685299</v>
      </c>
      <c r="P602" s="72">
        <v>1.7467153284671499</v>
      </c>
      <c r="Q602" s="77">
        <v>0.48051766719988098</v>
      </c>
    </row>
    <row r="603" spans="10:17" ht="14.25">
      <c r="J603" s="72">
        <v>29.794748124330098</v>
      </c>
      <c r="K603" s="72">
        <v>142.718652700224</v>
      </c>
      <c r="L603" s="72">
        <v>-60.805043263217598</v>
      </c>
      <c r="M603" s="72">
        <v>141.79960745437799</v>
      </c>
      <c r="N603" s="72">
        <v>5.3578795655825396E-4</v>
      </c>
      <c r="O603" s="72">
        <v>1.76207692609328</v>
      </c>
      <c r="P603" s="72">
        <v>1.7507299270073</v>
      </c>
      <c r="Q603" s="77">
        <v>0.47919209525383899</v>
      </c>
    </row>
    <row r="604" spans="10:17" ht="14.25">
      <c r="J604" s="72">
        <v>29.850482315112501</v>
      </c>
      <c r="K604" s="72">
        <v>143.014188912387</v>
      </c>
      <c r="L604" s="72">
        <v>-61.011963682684097</v>
      </c>
      <c r="M604" s="72">
        <v>142.00652787384399</v>
      </c>
      <c r="N604" s="72">
        <v>-5.3578795655825396E-4</v>
      </c>
      <c r="O604" s="72">
        <v>1.76572576617427</v>
      </c>
      <c r="P604" s="72">
        <v>1.7532846715328501</v>
      </c>
      <c r="Q604" s="77">
        <v>0.47928744505515702</v>
      </c>
    </row>
    <row r="605" spans="10:17" ht="14.25">
      <c r="J605" s="72">
        <v>29.901393354769599</v>
      </c>
      <c r="K605" s="72">
        <v>142.74809151946101</v>
      </c>
      <c r="L605" s="72">
        <v>-61.2484441620743</v>
      </c>
      <c r="M605" s="72">
        <v>142.24300835323399</v>
      </c>
      <c r="N605" s="72">
        <v>5.3578795655825396E-4</v>
      </c>
      <c r="O605" s="72">
        <v>1.76244039269787</v>
      </c>
      <c r="P605" s="72">
        <v>1.7562043795620399</v>
      </c>
      <c r="Q605" s="77">
        <v>0.47758147902174403</v>
      </c>
    </row>
    <row r="606" spans="10:17" ht="14.25">
      <c r="J606" s="72">
        <v>29.953912111468401</v>
      </c>
      <c r="K606" s="72">
        <v>142.98451531229901</v>
      </c>
      <c r="L606" s="72">
        <v>-61.366684401769398</v>
      </c>
      <c r="M606" s="72">
        <v>142.361248592929</v>
      </c>
      <c r="N606" s="72">
        <v>0</v>
      </c>
      <c r="O606" s="72">
        <v>1.76535940084612</v>
      </c>
      <c r="P606" s="72">
        <v>1.7576642335766399</v>
      </c>
      <c r="Q606" s="77">
        <v>0.47753341831396501</v>
      </c>
    </row>
    <row r="607" spans="10:17" ht="14.25">
      <c r="J607" s="72">
        <v>30.0010718113612</v>
      </c>
      <c r="K607" s="72">
        <v>143.07314628813501</v>
      </c>
      <c r="L607" s="72">
        <v>-61.573604821235897</v>
      </c>
      <c r="M607" s="72">
        <v>142.568169012396</v>
      </c>
      <c r="N607" s="72">
        <v>5.3578795655825396E-4</v>
      </c>
      <c r="O607" s="72">
        <v>1.76645368386031</v>
      </c>
      <c r="P607" s="72">
        <v>1.76021897810219</v>
      </c>
      <c r="Q607" s="77">
        <v>0.477078193407377</v>
      </c>
    </row>
  </sheetData>
  <phoneticPr fontId="10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8D7B3CD-DE2F-4410-AB9D-E4E3C9EFCE59}">
  <ds:schemaRefs>
    <ds:schemaRef ds:uri="http://purl.org/dc/terms/"/>
    <ds:schemaRef ds:uri="6fe47c77-cd38-4c52-a84f-d420f5256c07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FF41B7ED-B65D-4BB6-A80B-EAF3B430EBD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C94AC0F-62C8-441A-80EB-869BBEC5C67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3</vt:i4>
      </vt:variant>
    </vt:vector>
  </HeadingPairs>
  <TitlesOfParts>
    <vt:vector size="9" baseType="lpstr">
      <vt:lpstr>General</vt:lpstr>
      <vt:lpstr>Consolidation - 1</vt:lpstr>
      <vt:lpstr>Consolidation - 2</vt:lpstr>
      <vt:lpstr>Cyclic Preshear</vt:lpstr>
      <vt:lpstr>Consolidation - 3</vt:lpstr>
      <vt:lpstr>Shearing</vt:lpstr>
      <vt:lpstr>'Consolidation - 2'!D39979A1</vt:lpstr>
      <vt:lpstr>'Consolidation - 3'!D39979A1</vt:lpstr>
      <vt:lpstr>D39979A1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Singh, Shailesh</dc:creator>
  <cp:lastModifiedBy>Elsen, Max van den</cp:lastModifiedBy>
  <dcterms:created xsi:type="dcterms:W3CDTF">2019-07-10T11:42:33Z</dcterms:created>
  <dcterms:modified xsi:type="dcterms:W3CDTF">2024-09-13T13:50:39Z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