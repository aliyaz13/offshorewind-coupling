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Ad.fugro.com\data\NL\FNLM\Projects\02 Project Management\F19\F193460 RVO NL IJV-NW-HKW\06 Deliverables\05 FME\01 DD\02 NWZ\02 Lot 2\02 DSS-cv-nps\06 XLS_deliverables\Issue 08\"/>
    </mc:Choice>
  </mc:AlternateContent>
  <xr:revisionPtr revIDLastSave="0" documentId="13_ncr:1_{9FC1965A-82F7-4743-BBED-13E9FA71B917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General" sheetId="8" r:id="rId1"/>
    <sheet name="Consolidation - 1" sheetId="4" r:id="rId2"/>
    <sheet name="Consolidation - 2" sheetId="11" r:id="rId3"/>
    <sheet name="Cyclic Preshear" sheetId="14" r:id="rId4"/>
    <sheet name="Consolidation - 3" sheetId="15" r:id="rId5"/>
    <sheet name="Shearing" sheetId="6" r:id="rId6"/>
  </sheets>
  <definedNames>
    <definedName name="autofilter" localSheetId="3">OFFSET(#REF!,0,0,COUNTA(#REF!),25)</definedName>
    <definedName name="autofilter">OFFSET(#REF!,0,0,COUNTA(#REF!),25)</definedName>
    <definedName name="D39979A1" localSheetId="2">'Consolidation - 2'!$C$2:$C$4</definedName>
    <definedName name="D39979A1" localSheetId="4">'Consolidation - 3'!$C$2:$C$4</definedName>
    <definedName name="D39979A1">'Consolidation - 1'!$C$2:$C$4</definedName>
    <definedName name="Datarange">OFFSET(#REF!,0,0,COUNTA(#REF!),48)</definedName>
    <definedName name="groundunit">OFFSET(#REF!,1,0,COUNTA(#REF!)-1,1)</definedName>
    <definedName name="layerboundary">OFFSET(#REF!,1,0,COUNTA(#REF!)-1,3)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1" i="8" l="1"/>
  <c r="L40" i="8"/>
  <c r="L39" i="8"/>
  <c r="L38" i="8"/>
  <c r="L37" i="8"/>
  <c r="L36" i="8"/>
  <c r="L33" i="8"/>
  <c r="L32" i="8"/>
  <c r="L31" i="8"/>
  <c r="L30" i="8"/>
  <c r="L29" i="8"/>
</calcChain>
</file>

<file path=xl/sharedStrings.xml><?xml version="1.0" encoding="utf-8"?>
<sst xmlns="http://schemas.openxmlformats.org/spreadsheetml/2006/main" count="366" uniqueCount="94">
  <si>
    <t>[-]</t>
  </si>
  <si>
    <t>[%]</t>
  </si>
  <si>
    <t>[kPa]</t>
  </si>
  <si>
    <t>Bulk density</t>
  </si>
  <si>
    <t>Dry density</t>
  </si>
  <si>
    <t>Void ratio</t>
  </si>
  <si>
    <t>[mm]</t>
  </si>
  <si>
    <t>Vertical stress</t>
  </si>
  <si>
    <t>Type of sample</t>
  </si>
  <si>
    <t>Specimen orientation</t>
  </si>
  <si>
    <t>Diameter</t>
  </si>
  <si>
    <t>Length</t>
  </si>
  <si>
    <t>[Mg/m³]</t>
  </si>
  <si>
    <t>At peak shear stress</t>
  </si>
  <si>
    <t>Vertical strain</t>
  </si>
  <si>
    <t>Shear stress</t>
  </si>
  <si>
    <t>Shear strain</t>
  </si>
  <si>
    <t>Rate of strain</t>
  </si>
  <si>
    <t>[%/hour]</t>
  </si>
  <si>
    <t>Sample</t>
  </si>
  <si>
    <t>Test number</t>
  </si>
  <si>
    <t>[m]</t>
  </si>
  <si>
    <t>Depth</t>
  </si>
  <si>
    <t>Water content</t>
  </si>
  <si>
    <t>Bulk Density</t>
  </si>
  <si>
    <r>
      <t>[minutes</t>
    </r>
    <r>
      <rPr>
        <vertAlign val="superscript"/>
        <sz val="10"/>
        <rFont val="Segoe UI"/>
        <family val="2"/>
      </rPr>
      <t>0.5</t>
    </r>
    <r>
      <rPr>
        <sz val="10"/>
        <rFont val="Segoe UI"/>
        <family val="2"/>
      </rPr>
      <t>]</t>
    </r>
  </si>
  <si>
    <r>
      <rPr>
        <sz val="10"/>
        <rFont val="Symbol"/>
        <family val="1"/>
        <charset val="2"/>
      </rPr>
      <t>s</t>
    </r>
    <r>
      <rPr>
        <vertAlign val="subscript"/>
        <sz val="10"/>
        <rFont val="Segoe UI"/>
        <family val="2"/>
      </rPr>
      <t>vc</t>
    </r>
  </si>
  <si>
    <t>[MPa]</t>
  </si>
  <si>
    <t>At 15 % shear strain</t>
  </si>
  <si>
    <t>ID</t>
  </si>
  <si>
    <t>Reference stress</t>
  </si>
  <si>
    <r>
      <t xml:space="preserve">Mean </t>
    </r>
    <r>
      <rPr>
        <sz val="10"/>
        <rFont val="Symbol"/>
        <family val="1"/>
        <charset val="2"/>
      </rPr>
      <t>t</t>
    </r>
    <r>
      <rPr>
        <vertAlign val="subscript"/>
        <sz val="10"/>
        <rFont val="Segoe UI"/>
        <family val="2"/>
      </rPr>
      <t>av</t>
    </r>
  </si>
  <si>
    <r>
      <t xml:space="preserve">Mean </t>
    </r>
    <r>
      <rPr>
        <sz val="10"/>
        <rFont val="Symbol"/>
        <family val="1"/>
        <charset val="2"/>
      </rPr>
      <t>t</t>
    </r>
    <r>
      <rPr>
        <vertAlign val="subscript"/>
        <sz val="10"/>
        <rFont val="Segoe UI"/>
        <family val="2"/>
      </rPr>
      <t>cy</t>
    </r>
  </si>
  <si>
    <t>Frequency</t>
  </si>
  <si>
    <t>[Hz]</t>
  </si>
  <si>
    <t>Number of cycles applied (N)</t>
  </si>
  <si>
    <r>
      <rPr>
        <sz val="10"/>
        <color theme="1"/>
        <rFont val="Symbol"/>
        <family val="1"/>
        <charset val="2"/>
      </rPr>
      <t>g</t>
    </r>
    <r>
      <rPr>
        <vertAlign val="subscript"/>
        <sz val="10"/>
        <color theme="1"/>
        <rFont val="Segoe UI"/>
        <family val="2"/>
      </rPr>
      <t>av</t>
    </r>
  </si>
  <si>
    <r>
      <rPr>
        <sz val="10"/>
        <color theme="1"/>
        <rFont val="Symbol"/>
        <family val="1"/>
        <charset val="2"/>
      </rPr>
      <t>g</t>
    </r>
    <r>
      <rPr>
        <vertAlign val="subscript"/>
        <sz val="10"/>
        <color theme="1"/>
        <rFont val="Segoe UI"/>
        <family val="2"/>
      </rPr>
      <t>cy</t>
    </r>
  </si>
  <si>
    <t>G</t>
  </si>
  <si>
    <t>l</t>
  </si>
  <si>
    <r>
      <t>Shear induced -</t>
    </r>
    <r>
      <rPr>
        <sz val="10"/>
        <rFont val="Symbol"/>
        <family val="1"/>
        <charset val="2"/>
      </rPr>
      <t>Ds</t>
    </r>
    <r>
      <rPr>
        <vertAlign val="subscript"/>
        <sz val="10"/>
        <rFont val="Segoe UI"/>
        <family val="2"/>
      </rPr>
      <t>v</t>
    </r>
  </si>
  <si>
    <r>
      <t>Shear induced -Δσ</t>
    </r>
    <r>
      <rPr>
        <vertAlign val="subscript"/>
        <sz val="10"/>
        <color theme="1"/>
        <rFont val="Segoe UI"/>
        <family val="2"/>
      </rPr>
      <t>v</t>
    </r>
    <r>
      <rPr>
        <sz val="10"/>
        <color theme="1"/>
        <rFont val="Segoe UI"/>
        <family val="2"/>
      </rPr>
      <t>/σ</t>
    </r>
    <r>
      <rPr>
        <vertAlign val="subscript"/>
        <sz val="10"/>
        <color theme="1"/>
        <rFont val="Segoe UI"/>
        <family val="2"/>
      </rPr>
      <t>vc</t>
    </r>
  </si>
  <si>
    <t>Shear modulus</t>
  </si>
  <si>
    <t>Damping ratio</t>
  </si>
  <si>
    <t>Test identification</t>
  </si>
  <si>
    <t>Specimen Visual Description</t>
  </si>
  <si>
    <t>Initial Specimen Conditions</t>
  </si>
  <si>
    <t>Degree of saturation</t>
  </si>
  <si>
    <t>Test start date</t>
  </si>
  <si>
    <t>Assumed particle density</t>
  </si>
  <si>
    <t>Torvane</t>
  </si>
  <si>
    <t>Pocket penetrometer</t>
  </si>
  <si>
    <t>Torvane 90°</t>
  </si>
  <si>
    <t>Pocket penetrometer 90°</t>
  </si>
  <si>
    <t>Consolidation - 1</t>
  </si>
  <si>
    <t>Consolidation - 2</t>
  </si>
  <si>
    <t>Consolidation - 3</t>
  </si>
  <si>
    <t>Shearing - Constant Volume</t>
  </si>
  <si>
    <t>Shearing - Constant Volume - At peak shear stress</t>
  </si>
  <si>
    <t>Shearing - Constant Volume - At 15 % shear strain</t>
  </si>
  <si>
    <t>Shearing - Constant Vertical Stress</t>
  </si>
  <si>
    <t>Shearing - Constant Vertical Stress - At peak shear stress</t>
  </si>
  <si>
    <t>Shearing - Constant Vertical Stress - At 15 % shear strain</t>
  </si>
  <si>
    <t>Shearing Stage - Constant Vertical Stress</t>
  </si>
  <si>
    <t>Shearing Stage - Constant Volume</t>
  </si>
  <si>
    <t>Stress Controlled Cyclic Loading - Constant Vertical Stress</t>
  </si>
  <si>
    <t>Final Specimen Conditions</t>
  </si>
  <si>
    <r>
      <t>Shear induced -</t>
    </r>
    <r>
      <rPr>
        <sz val="10"/>
        <rFont val="Symbol"/>
        <family val="1"/>
        <charset val="2"/>
      </rPr>
      <t>D</t>
    </r>
    <r>
      <rPr>
        <sz val="10"/>
        <rFont val="Segoe UI"/>
        <family val="2"/>
      </rPr>
      <t>Vertical Stress</t>
    </r>
  </si>
  <si>
    <t>Number of Cycles</t>
  </si>
  <si>
    <r>
      <rPr>
        <sz val="10"/>
        <rFont val="Symbol"/>
        <family val="1"/>
        <charset val="2"/>
      </rPr>
      <t>s</t>
    </r>
    <r>
      <rPr>
        <vertAlign val="subscript"/>
        <sz val="10"/>
        <rFont val="Segoe UI"/>
        <family val="2"/>
      </rPr>
      <t>v</t>
    </r>
  </si>
  <si>
    <t>Cycle</t>
  </si>
  <si>
    <t>Shear Strain</t>
  </si>
  <si>
    <t>Shear Stress</t>
  </si>
  <si>
    <t>Vertical stress / consolidation Stress</t>
  </si>
  <si>
    <t>Shear Stress / Consolidation Stress</t>
  </si>
  <si>
    <t>Root Time</t>
  </si>
  <si>
    <t>Vertical Strain</t>
  </si>
  <si>
    <t>Vertical Consolidation Stress</t>
  </si>
  <si>
    <t>Vertical Stress</t>
  </si>
  <si>
    <r>
      <t xml:space="preserve">Shear Induced </t>
    </r>
    <r>
      <rPr>
        <sz val="10"/>
        <rFont val="Symbol"/>
        <family val="1"/>
        <charset val="2"/>
      </rPr>
      <t>D</t>
    </r>
    <r>
      <rPr>
        <sz val="10"/>
        <rFont val="Segoe UI"/>
        <family val="2"/>
      </rPr>
      <t>Vertical Strain</t>
    </r>
  </si>
  <si>
    <t>Vertical Stress / Consolidation Stress</t>
  </si>
  <si>
    <t>Shear Modulus</t>
  </si>
  <si>
    <t xml:space="preserve">Shear Modulus </t>
  </si>
  <si>
    <t>Shear Induced ΔVertical Strain</t>
  </si>
  <si>
    <r>
      <t>Shear Induced -</t>
    </r>
    <r>
      <rPr>
        <sz val="10"/>
        <rFont val="Symbol"/>
        <family val="1"/>
        <charset val="2"/>
      </rPr>
      <t>D</t>
    </r>
    <r>
      <rPr>
        <sz val="10"/>
        <rFont val="Segoe UI"/>
        <family val="2"/>
      </rPr>
      <t>Vertical Stress</t>
    </r>
  </si>
  <si>
    <t>Location</t>
  </si>
  <si>
    <t>NWZ-BH-5053</t>
  </si>
  <si>
    <t>20-2</t>
  </si>
  <si>
    <t>DSS127</t>
  </si>
  <si>
    <t>Firm medium strength dark grey CLAY</t>
  </si>
  <si>
    <t>07/05/2024</t>
  </si>
  <si>
    <t>Undisturbed</t>
  </si>
  <si>
    <t>Vertical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</si>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</sst>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000000"/>
    <numFmt numFmtId="165" formatCode="0.0"/>
    <numFmt numFmtId="166" formatCode="0.000"/>
    <numFmt numFmtId="167" formatCode="0.0000"/>
  </numFmts>
  <fonts count="16">
    <font>
      <sz val="10"/>
      <color theme="1"/>
      <name val="Arial"/>
      <family val="2"/>
    </font>
    <font>
      <sz val="11"/>
      <name val="Calibri"/>
      <family val="2"/>
    </font>
    <font>
      <sz val="11"/>
      <color theme="1"/>
      <name val="Calibri"/>
      <family val="2"/>
      <scheme val="minor"/>
    </font>
    <font>
      <b/>
      <sz val="10"/>
      <name val="Segoe UI"/>
      <family val="2"/>
    </font>
    <font>
      <sz val="10"/>
      <color theme="1"/>
      <name val="Segoe UI"/>
      <family val="2"/>
    </font>
    <font>
      <sz val="10"/>
      <name val="Segoe UI"/>
      <family val="2"/>
    </font>
    <font>
      <b/>
      <sz val="10"/>
      <color theme="1"/>
      <name val="Segoe UI"/>
      <family val="2"/>
    </font>
    <font>
      <sz val="10"/>
      <name val="CG Times (WN)"/>
    </font>
    <font>
      <vertAlign val="subscript"/>
      <sz val="10"/>
      <name val="Segoe UI"/>
      <family val="2"/>
    </font>
    <font>
      <vertAlign val="superscript"/>
      <sz val="10"/>
      <name val="Segoe UI"/>
      <family val="2"/>
    </font>
    <font>
      <sz val="8"/>
      <name val="Arial"/>
      <family val="2"/>
    </font>
    <font>
      <sz val="10"/>
      <name val="Symbol"/>
      <family val="1"/>
      <charset val="2"/>
    </font>
    <font>
      <sz val="10"/>
      <name val="Segoe UI"/>
      <family val="1"/>
      <charset val="2"/>
    </font>
    <font>
      <sz val="10"/>
      <color theme="1"/>
      <name val="Segoe UI"/>
      <family val="1"/>
      <charset val="2"/>
    </font>
    <font>
      <sz val="10"/>
      <color theme="1"/>
      <name val="Symbol"/>
      <family val="1"/>
      <charset val="2"/>
    </font>
    <font>
      <vertAlign val="subscript"/>
      <sz val="10"/>
      <color theme="1"/>
      <name val="Segoe U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2" fillId="0" borderId="0"/>
    <xf numFmtId="0" fontId="7" fillId="0" borderId="0"/>
  </cellStyleXfs>
  <cellXfs count="85">
    <xf numFmtId="0" fontId="0" fillId="0" borderId="0" xfId="0"/>
    <xf numFmtId="0" fontId="4" fillId="0" borderId="0" xfId="0" applyFont="1" applyAlignment="1">
      <alignment horizontal="center"/>
    </xf>
    <xf numFmtId="0" fontId="4" fillId="0" borderId="0" xfId="0" applyFont="1"/>
    <xf numFmtId="0" fontId="5" fillId="0" borderId="0" xfId="0" applyFont="1" applyAlignment="1">
      <alignment horizontal="left" vertical="top"/>
    </xf>
    <xf numFmtId="0" fontId="4" fillId="0" borderId="0" xfId="0" applyFont="1" applyAlignment="1">
      <alignment horizontal="center" vertical="top"/>
    </xf>
    <xf numFmtId="0" fontId="4" fillId="0" borderId="0" xfId="0" applyFont="1" applyAlignment="1">
      <alignment horizontal="left" vertical="top"/>
    </xf>
    <xf numFmtId="2" fontId="4" fillId="0" borderId="0" xfId="0" applyNumberFormat="1" applyFont="1" applyAlignment="1">
      <alignment horizontal="center"/>
    </xf>
    <xf numFmtId="1" fontId="4" fillId="0" borderId="0" xfId="0" applyNumberFormat="1" applyFont="1" applyAlignment="1">
      <alignment horizontal="center"/>
    </xf>
    <xf numFmtId="165" fontId="4" fillId="0" borderId="0" xfId="0" applyNumberFormat="1" applyFont="1" applyAlignment="1">
      <alignment horizontal="center" vertical="top"/>
    </xf>
    <xf numFmtId="2" fontId="4" fillId="0" borderId="0" xfId="0" applyNumberFormat="1" applyFont="1" applyAlignment="1">
      <alignment horizontal="center" vertical="top"/>
    </xf>
    <xf numFmtId="1" fontId="4" fillId="0" borderId="0" xfId="0" applyNumberFormat="1" applyFont="1" applyAlignment="1">
      <alignment horizontal="center" vertical="top"/>
    </xf>
    <xf numFmtId="2" fontId="3" fillId="0" borderId="0" xfId="1" applyNumberFormat="1" applyFont="1" applyAlignment="1">
      <alignment horizontal="left" vertical="top"/>
    </xf>
    <xf numFmtId="0" fontId="5" fillId="0" borderId="0" xfId="1" applyFont="1" applyAlignment="1">
      <alignment horizontal="left" vertical="top"/>
    </xf>
    <xf numFmtId="166" fontId="4" fillId="0" borderId="0" xfId="0" applyNumberFormat="1" applyFont="1" applyAlignment="1">
      <alignment horizontal="center" vertical="top"/>
    </xf>
    <xf numFmtId="1" fontId="5" fillId="0" borderId="0" xfId="1" applyNumberFormat="1" applyFont="1" applyAlignment="1">
      <alignment horizontal="center" vertical="top"/>
    </xf>
    <xf numFmtId="2" fontId="5" fillId="0" borderId="0" xfId="1" applyNumberFormat="1" applyFont="1" applyAlignment="1">
      <alignment horizontal="center" vertical="top"/>
    </xf>
    <xf numFmtId="0" fontId="5" fillId="0" borderId="0" xfId="1" applyFont="1" applyAlignment="1">
      <alignment horizontal="center" vertical="top"/>
    </xf>
    <xf numFmtId="2" fontId="4" fillId="0" borderId="0" xfId="0" applyNumberFormat="1" applyFont="1" applyAlignment="1">
      <alignment horizontal="center" wrapText="1"/>
    </xf>
    <xf numFmtId="1" fontId="4" fillId="0" borderId="0" xfId="0" applyNumberFormat="1" applyFont="1" applyAlignment="1">
      <alignment horizontal="center" wrapText="1"/>
    </xf>
    <xf numFmtId="2" fontId="4" fillId="0" borderId="0" xfId="0" applyNumberFormat="1" applyFont="1" applyAlignment="1">
      <alignment wrapText="1"/>
    </xf>
    <xf numFmtId="2" fontId="4" fillId="0" borderId="0" xfId="0" applyNumberFormat="1" applyFont="1"/>
    <xf numFmtId="2" fontId="6" fillId="0" borderId="0" xfId="0" applyNumberFormat="1" applyFont="1" applyFill="1" applyAlignment="1">
      <alignment horizontal="center"/>
    </xf>
    <xf numFmtId="167" fontId="5" fillId="0" borderId="0" xfId="1" applyNumberFormat="1" applyFont="1" applyBorder="1" applyAlignment="1">
      <alignment horizontal="center" vertical="top"/>
    </xf>
    <xf numFmtId="167" fontId="3" fillId="0" borderId="0" xfId="1" applyNumberFormat="1" applyFont="1" applyBorder="1" applyAlignment="1">
      <alignment horizontal="left" vertical="top"/>
    </xf>
    <xf numFmtId="167" fontId="5" fillId="0" borderId="0" xfId="1" applyNumberFormat="1" applyFont="1" applyAlignment="1">
      <alignment horizontal="center" vertical="top" wrapText="1"/>
    </xf>
    <xf numFmtId="167" fontId="3" fillId="0" borderId="0" xfId="1" applyNumberFormat="1" applyFont="1" applyAlignment="1">
      <alignment horizontal="left" vertical="top"/>
    </xf>
    <xf numFmtId="167" fontId="5" fillId="0" borderId="0" xfId="1" applyNumberFormat="1" applyFont="1" applyAlignment="1">
      <alignment horizontal="center" vertical="top"/>
    </xf>
    <xf numFmtId="0" fontId="5" fillId="0" borderId="0" xfId="3" applyFont="1" applyBorder="1" applyAlignment="1">
      <alignment horizontal="left" vertical="top"/>
    </xf>
    <xf numFmtId="166" fontId="5" fillId="0" borderId="0" xfId="1" applyNumberFormat="1" applyFont="1" applyAlignment="1">
      <alignment horizontal="center" vertical="top"/>
    </xf>
    <xf numFmtId="165" fontId="5" fillId="0" borderId="0" xfId="1" applyNumberFormat="1" applyFont="1" applyAlignment="1">
      <alignment horizontal="center" vertical="top"/>
    </xf>
    <xf numFmtId="0" fontId="3" fillId="0" borderId="0" xfId="0" applyFont="1" applyAlignment="1">
      <alignment horizontal="left" vertical="top"/>
    </xf>
    <xf numFmtId="0" fontId="6" fillId="0" borderId="0" xfId="0" applyFont="1" applyAlignment="1">
      <alignment horizontal="left" vertical="top"/>
    </xf>
    <xf numFmtId="167" fontId="5" fillId="0" borderId="0" xfId="3" applyNumberFormat="1" applyFont="1" applyAlignment="1">
      <alignment horizontal="center" vertical="top" wrapText="1"/>
    </xf>
    <xf numFmtId="167" fontId="4" fillId="0" borderId="0" xfId="0" applyNumberFormat="1" applyFont="1" applyAlignment="1">
      <alignment horizontal="center" vertical="top"/>
    </xf>
    <xf numFmtId="0" fontId="5" fillId="0" borderId="0" xfId="1" applyFont="1"/>
    <xf numFmtId="2" fontId="6" fillId="0" borderId="0" xfId="0" applyNumberFormat="1" applyFont="1"/>
    <xf numFmtId="2" fontId="6" fillId="0" borderId="0" xfId="0" applyNumberFormat="1" applyFont="1" applyAlignment="1">
      <alignment horizontal="center"/>
    </xf>
    <xf numFmtId="2" fontId="4" fillId="0" borderId="0" xfId="0" applyNumberFormat="1" applyFont="1" applyAlignment="1">
      <alignment horizontal="left"/>
    </xf>
    <xf numFmtId="0" fontId="5" fillId="0" borderId="0" xfId="1" applyFont="1" applyAlignment="1">
      <alignment horizontal="center"/>
    </xf>
    <xf numFmtId="0" fontId="5" fillId="0" borderId="0" xfId="1" applyFont="1" applyFill="1"/>
    <xf numFmtId="164" fontId="5" fillId="0" borderId="0" xfId="1" applyNumberFormat="1" applyFont="1" applyFill="1" applyBorder="1" applyAlignment="1">
      <alignment horizontal="center" vertical="center"/>
    </xf>
    <xf numFmtId="2" fontId="5" fillId="0" borderId="0" xfId="1" applyNumberFormat="1" applyFont="1" applyFill="1" applyBorder="1" applyAlignment="1">
      <alignment horizontal="center" vertical="top"/>
    </xf>
    <xf numFmtId="2" fontId="5" fillId="0" borderId="0" xfId="1" applyNumberFormat="1" applyFont="1" applyFill="1" applyAlignment="1">
      <alignment horizontal="center" vertical="top"/>
    </xf>
    <xf numFmtId="2" fontId="5" fillId="0" borderId="0" xfId="1" applyNumberFormat="1" applyFont="1" applyAlignment="1">
      <alignment horizontal="center" vertical="top" wrapText="1"/>
    </xf>
    <xf numFmtId="164" fontId="5" fillId="0" borderId="0" xfId="1" applyNumberFormat="1" applyFont="1" applyFill="1" applyBorder="1" applyAlignment="1">
      <alignment horizontal="center" vertical="center" wrapText="1"/>
    </xf>
    <xf numFmtId="164" fontId="5" fillId="0" borderId="0" xfId="1" applyNumberFormat="1" applyFont="1" applyFill="1" applyAlignment="1">
      <alignment horizontal="center" vertical="top" wrapText="1"/>
    </xf>
    <xf numFmtId="164" fontId="5" fillId="0" borderId="1" xfId="1" applyNumberFormat="1" applyFont="1" applyFill="1" applyBorder="1" applyAlignment="1">
      <alignment horizontal="center" vertical="center"/>
    </xf>
    <xf numFmtId="2" fontId="5" fillId="0" borderId="1" xfId="1" applyNumberFormat="1" applyFont="1" applyFill="1" applyBorder="1" applyAlignment="1">
      <alignment horizontal="center" vertical="top"/>
    </xf>
    <xf numFmtId="0" fontId="5" fillId="0" borderId="0" xfId="1" applyFont="1" applyFill="1" applyBorder="1" applyAlignment="1">
      <alignment horizontal="center"/>
    </xf>
    <xf numFmtId="164" fontId="5" fillId="0" borderId="0" xfId="1" applyNumberFormat="1" applyFont="1" applyFill="1" applyBorder="1" applyAlignment="1">
      <alignment horizontal="center"/>
    </xf>
    <xf numFmtId="0" fontId="5" fillId="0" borderId="0" xfId="1" applyFont="1" applyFill="1" applyBorder="1" applyAlignment="1">
      <alignment horizontal="center" wrapText="1"/>
    </xf>
    <xf numFmtId="164" fontId="5" fillId="0" borderId="0" xfId="1" applyNumberFormat="1" applyFont="1" applyAlignment="1">
      <alignment horizontal="center"/>
    </xf>
    <xf numFmtId="164" fontId="5" fillId="0" borderId="0" xfId="1" applyNumberFormat="1" applyFont="1" applyFill="1" applyBorder="1" applyAlignment="1">
      <alignment horizontal="center" wrapText="1"/>
    </xf>
    <xf numFmtId="0" fontId="5" fillId="0" borderId="1" xfId="1" applyFont="1" applyFill="1" applyBorder="1" applyAlignment="1">
      <alignment horizontal="center"/>
    </xf>
    <xf numFmtId="164" fontId="5" fillId="0" borderId="1" xfId="1" applyNumberFormat="1" applyFont="1" applyFill="1" applyBorder="1" applyAlignment="1">
      <alignment horizontal="center"/>
    </xf>
    <xf numFmtId="2" fontId="5" fillId="0" borderId="0" xfId="1" applyNumberFormat="1" applyFont="1" applyAlignment="1">
      <alignment horizontal="center"/>
    </xf>
    <xf numFmtId="0" fontId="4" fillId="0" borderId="0" xfId="0" applyFont="1" applyAlignment="1">
      <alignment vertical="top"/>
    </xf>
    <xf numFmtId="0" fontId="5" fillId="0" borderId="0" xfId="1" applyFont="1" applyBorder="1" applyAlignment="1">
      <alignment horizontal="center" wrapText="1"/>
    </xf>
    <xf numFmtId="0" fontId="5" fillId="0" borderId="0" xfId="1" applyFont="1" applyBorder="1" applyAlignment="1">
      <alignment horizontal="center"/>
    </xf>
    <xf numFmtId="0" fontId="12" fillId="0" borderId="0" xfId="3" applyFont="1" applyBorder="1" applyAlignment="1">
      <alignment horizontal="left" vertical="top"/>
    </xf>
    <xf numFmtId="0" fontId="5" fillId="0" borderId="0" xfId="1" applyFont="1" applyAlignment="1">
      <alignment vertical="top"/>
    </xf>
    <xf numFmtId="2" fontId="5" fillId="0" borderId="0" xfId="1" applyNumberFormat="1" applyFont="1" applyAlignment="1">
      <alignment vertical="top"/>
    </xf>
    <xf numFmtId="0" fontId="3" fillId="0" borderId="0" xfId="1" applyFont="1"/>
    <xf numFmtId="0" fontId="3" fillId="0" borderId="0" xfId="3" applyFont="1" applyAlignment="1">
      <alignment horizontal="left" vertical="top"/>
    </xf>
    <xf numFmtId="0" fontId="12" fillId="0" borderId="0" xfId="3" applyFont="1" applyAlignment="1">
      <alignment horizontal="left" vertical="top"/>
    </xf>
    <xf numFmtId="0" fontId="5" fillId="0" borderId="0" xfId="3" applyFont="1" applyAlignment="1">
      <alignment horizontal="left" vertical="top"/>
    </xf>
    <xf numFmtId="0" fontId="5" fillId="0" borderId="0" xfId="3" applyFont="1" applyAlignment="1">
      <alignment horizontal="center" vertical="top"/>
    </xf>
    <xf numFmtId="0" fontId="13" fillId="0" borderId="0" xfId="1" applyFont="1" applyAlignment="1">
      <alignment horizontal="center" vertical="top"/>
    </xf>
    <xf numFmtId="0" fontId="4" fillId="0" borderId="0" xfId="1" applyFont="1" applyAlignment="1">
      <alignment horizontal="center" vertical="center"/>
    </xf>
    <xf numFmtId="0" fontId="14" fillId="0" borderId="0" xfId="1" applyFont="1" applyAlignment="1">
      <alignment horizontal="center" vertical="center"/>
    </xf>
    <xf numFmtId="1" fontId="5" fillId="0" borderId="0" xfId="3" applyNumberFormat="1" applyFont="1" applyAlignment="1">
      <alignment horizontal="center" vertical="top"/>
    </xf>
    <xf numFmtId="167" fontId="4" fillId="0" borderId="0" xfId="0" applyNumberFormat="1" applyFont="1" applyAlignment="1">
      <alignment horizontal="center" vertical="top" wrapText="1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4" fillId="0" borderId="0" xfId="0" applyNumberFormat="1" applyFont="1" applyAlignment="1">
      <alignment horizontal="center" vertical="center"/>
    </xf>
    <xf numFmtId="0" fontId="5" fillId="0" borderId="0" xfId="1" applyFont="1" applyAlignment="1">
      <alignment horizontal="left" vertical="center"/>
    </xf>
    <xf numFmtId="2" fontId="4" fillId="0" borderId="0" xfId="0" applyNumberFormat="1" applyFont="1" applyAlignment="1">
      <alignment horizontal="center" vertical="center"/>
    </xf>
    <xf numFmtId="0" fontId="5" fillId="0" borderId="0" xfId="1" applyFont="1" applyAlignment="1">
      <alignment horizontal="center" vertical="center"/>
    </xf>
    <xf numFmtId="167" fontId="4" fillId="0" borderId="0" xfId="0" applyNumberFormat="1" applyFont="1" applyAlignment="1">
      <alignment horizontal="center"/>
    </xf>
    <xf numFmtId="167" fontId="5" fillId="0" borderId="0" xfId="1" applyNumberFormat="1" applyFont="1" applyAlignment="1">
      <alignment horizontal="center" wrapText="1"/>
    </xf>
    <xf numFmtId="2" fontId="5" fillId="0" borderId="0" xfId="1" applyNumberFormat="1" applyFont="1" applyAlignment="1">
      <alignment horizontal="left" vertical="top"/>
    </xf>
    <xf numFmtId="14" fontId="4" fillId="0" borderId="0" xfId="0" applyNumberFormat="1" applyFont="1" applyAlignment="1">
      <alignment horizontal="center" vertical="top"/>
    </xf>
    <xf numFmtId="0" fontId="3" fillId="0" borderId="0" xfId="3" applyFont="1" applyAlignment="1">
      <alignment horizontal="left" vertical="top" wrapText="1"/>
    </xf>
    <xf numFmtId="167" fontId="5" fillId="0" borderId="0" xfId="1" applyNumberFormat="1" applyFont="1" applyAlignment="1">
      <alignment horizontal="center"/>
    </xf>
    <xf numFmtId="2" fontId="5" fillId="0" borderId="0" xfId="1" applyNumberFormat="1" applyFont="1" applyBorder="1" applyAlignment="1">
      <alignment horizontal="center" vertical="top"/>
    </xf>
  </cellXfs>
  <cellStyles count="4">
    <cellStyle name="Normal" xfId="0" builtinId="0"/>
    <cellStyle name="Normal 2" xfId="1" xr:uid="{00000000-0005-0000-0000-000001000000}"/>
    <cellStyle name="Normal 2 2 2" xfId="2" xr:uid="{00000000-0005-0000-0000-000002000000}"/>
    <cellStyle name="Normal_01_18_CA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25AC3E-E932-43BE-8610-3A2536DE63DD}">
  <dimension ref="A1:O152"/>
  <sheetViews>
    <sheetView tabSelected="1" zoomScaleNormal="100" workbookViewId="0">
      <pane xSplit="2" topLeftCell="C1" activePane="topRight" state="frozen"/>
      <selection pane="topRight"/>
    </sheetView>
  </sheetViews>
  <sheetFormatPr defaultColWidth="9.140625" defaultRowHeight="15" customHeight="1"/>
  <cols>
    <col min="1" max="1" width="60.7109375" style="34" customWidth="1"/>
    <col min="2" max="2" width="32.7109375" style="5" customWidth="1"/>
    <col min="3" max="3" width="15.7109375" style="16" customWidth="1"/>
    <col min="4" max="4" width="15.7109375" style="12" customWidth="1"/>
    <col min="5" max="5" width="15.7109375" style="56" customWidth="1"/>
    <col min="6" max="6" width="15.7109375" style="60" customWidth="1"/>
    <col min="7" max="8" width="9.140625" style="34"/>
    <col min="9" max="10" width="9.140625" style="20"/>
    <col min="11" max="11" width="9.140625" style="6"/>
    <col min="12" max="14" width="9.140625" style="20"/>
    <col min="15" max="16384" width="9.140625" style="34"/>
  </cols>
  <sheetData>
    <row r="1" spans="1:14" ht="15" customHeight="1">
      <c r="A1" s="62" t="s">
        <v>29</v>
      </c>
      <c r="B1" s="30" t="s">
        <v>44</v>
      </c>
      <c r="C1" s="4"/>
      <c r="D1" s="5"/>
      <c r="F1" s="56"/>
      <c r="H1" s="35"/>
      <c r="I1" s="35"/>
      <c r="J1" s="35"/>
      <c r="K1" s="36"/>
      <c r="L1" s="36"/>
      <c r="M1" s="21"/>
      <c r="N1" s="21"/>
    </row>
    <row r="2" spans="1:14" ht="15" customHeight="1">
      <c r="A2" s="3" t="s">
        <v>44</v>
      </c>
      <c r="B2" s="3" t="s">
        <v>85</v>
      </c>
      <c r="C2" s="4" t="s">
        <v>86</v>
      </c>
      <c r="D2" s="5"/>
      <c r="F2" s="56"/>
      <c r="H2" s="37"/>
      <c r="I2" s="19"/>
      <c r="J2" s="17"/>
      <c r="K2" s="18"/>
      <c r="L2" s="18"/>
      <c r="M2" s="7"/>
      <c r="N2" s="18"/>
    </row>
    <row r="3" spans="1:14" ht="15" customHeight="1">
      <c r="A3" s="3" t="s">
        <v>44</v>
      </c>
      <c r="B3" s="3" t="s">
        <v>19</v>
      </c>
      <c r="C3" s="4" t="s">
        <v>87</v>
      </c>
      <c r="D3" s="5"/>
      <c r="F3" s="56"/>
      <c r="H3" s="37"/>
      <c r="I3" s="37"/>
      <c r="J3" s="6"/>
      <c r="K3" s="14"/>
      <c r="L3" s="7"/>
      <c r="M3" s="7"/>
      <c r="N3" s="7"/>
    </row>
    <row r="4" spans="1:14" ht="15" customHeight="1">
      <c r="A4" s="3" t="s">
        <v>44</v>
      </c>
      <c r="B4" s="3" t="s">
        <v>22</v>
      </c>
      <c r="C4" s="9">
        <v>18.2</v>
      </c>
      <c r="D4" s="5" t="s">
        <v>21</v>
      </c>
      <c r="H4" s="20"/>
      <c r="I4" s="2"/>
      <c r="J4" s="1"/>
      <c r="K4" s="7"/>
      <c r="L4" s="7"/>
      <c r="M4" s="7"/>
      <c r="N4" s="7"/>
    </row>
    <row r="5" spans="1:14" ht="15" customHeight="1">
      <c r="A5" s="3" t="s">
        <v>44</v>
      </c>
      <c r="B5" s="3" t="s">
        <v>20</v>
      </c>
      <c r="C5" s="4" t="s">
        <v>88</v>
      </c>
      <c r="D5" s="5"/>
      <c r="F5" s="56"/>
      <c r="H5" s="20"/>
      <c r="I5" s="2"/>
      <c r="J5" s="1"/>
      <c r="K5" s="7"/>
      <c r="L5" s="7"/>
      <c r="M5" s="7"/>
      <c r="N5" s="7"/>
    </row>
    <row r="6" spans="1:14" ht="15" customHeight="1">
      <c r="B6" s="3"/>
      <c r="D6" s="5"/>
      <c r="F6" s="56"/>
      <c r="H6" s="20"/>
      <c r="I6" s="2"/>
      <c r="J6" s="1"/>
      <c r="K6" s="7"/>
      <c r="L6" s="7"/>
      <c r="M6" s="7"/>
      <c r="N6" s="7"/>
    </row>
    <row r="7" spans="1:14" ht="15" customHeight="1">
      <c r="B7" s="30" t="s">
        <v>45</v>
      </c>
      <c r="C7" s="4"/>
      <c r="D7" s="5"/>
      <c r="F7" s="56"/>
      <c r="H7" s="20"/>
      <c r="I7" s="2"/>
      <c r="J7" s="1"/>
      <c r="K7" s="7"/>
      <c r="L7" s="7"/>
      <c r="M7" s="7"/>
      <c r="N7" s="7"/>
    </row>
    <row r="8" spans="1:14" ht="15" customHeight="1">
      <c r="A8" s="3" t="s">
        <v>45</v>
      </c>
      <c r="B8" s="12" t="s">
        <v>89</v>
      </c>
      <c r="C8" s="4"/>
      <c r="D8" s="5"/>
      <c r="F8" s="56"/>
      <c r="H8" s="20"/>
      <c r="I8" s="2"/>
      <c r="J8" s="1"/>
      <c r="K8" s="7"/>
      <c r="L8" s="7"/>
      <c r="M8" s="7"/>
      <c r="N8" s="7"/>
    </row>
    <row r="9" spans="1:14" ht="15" customHeight="1">
      <c r="C9" s="4"/>
      <c r="D9" s="5"/>
      <c r="F9" s="56"/>
      <c r="H9" s="20"/>
      <c r="I9" s="2"/>
      <c r="J9" s="1"/>
      <c r="K9" s="7"/>
      <c r="L9" s="7"/>
      <c r="M9" s="7"/>
      <c r="N9" s="7"/>
    </row>
    <row r="10" spans="1:14" ht="15" customHeight="1">
      <c r="B10" s="30" t="s">
        <v>46</v>
      </c>
      <c r="C10" s="4"/>
      <c r="D10" s="5"/>
      <c r="F10" s="56"/>
      <c r="H10" s="20"/>
      <c r="I10" s="2"/>
      <c r="J10" s="1"/>
      <c r="K10" s="7"/>
      <c r="L10" s="7"/>
      <c r="M10" s="7"/>
      <c r="N10" s="7"/>
    </row>
    <row r="11" spans="1:14" ht="15" customHeight="1">
      <c r="A11" s="3" t="s">
        <v>46</v>
      </c>
      <c r="B11" s="5" t="s">
        <v>48</v>
      </c>
      <c r="C11" s="81" t="s">
        <v>90</v>
      </c>
      <c r="D11" s="5"/>
      <c r="F11" s="56"/>
      <c r="H11" s="20"/>
      <c r="I11" s="2"/>
      <c r="J11" s="1"/>
      <c r="K11" s="7"/>
      <c r="L11" s="7"/>
      <c r="M11" s="7"/>
      <c r="N11" s="7"/>
    </row>
    <row r="12" spans="1:14" ht="15" customHeight="1">
      <c r="A12" s="3" t="s">
        <v>46</v>
      </c>
      <c r="B12" s="5" t="s">
        <v>8</v>
      </c>
      <c r="C12" s="4" t="s">
        <v>91</v>
      </c>
      <c r="D12" s="5"/>
      <c r="F12" s="56"/>
      <c r="H12" s="20"/>
      <c r="I12" s="2"/>
      <c r="J12" s="1"/>
      <c r="K12" s="7"/>
      <c r="L12" s="7"/>
      <c r="M12" s="7"/>
      <c r="N12" s="7"/>
    </row>
    <row r="13" spans="1:14" ht="15" customHeight="1">
      <c r="A13" s="3" t="s">
        <v>46</v>
      </c>
      <c r="B13" s="5" t="s">
        <v>9</v>
      </c>
      <c r="C13" s="4" t="s">
        <v>92</v>
      </c>
      <c r="D13" s="5"/>
      <c r="F13" s="56"/>
      <c r="H13" s="20"/>
      <c r="I13" s="2"/>
      <c r="J13" s="1"/>
      <c r="K13" s="7"/>
      <c r="L13" s="7"/>
      <c r="M13" s="7"/>
      <c r="N13" s="7"/>
    </row>
    <row r="14" spans="1:14" ht="15" customHeight="1">
      <c r="A14" s="3" t="s">
        <v>46</v>
      </c>
      <c r="B14" s="5" t="s">
        <v>10</v>
      </c>
      <c r="C14" s="8">
        <v>65.55</v>
      </c>
      <c r="D14" s="5" t="s">
        <v>6</v>
      </c>
      <c r="F14" s="56"/>
      <c r="H14" s="20"/>
      <c r="I14" s="2"/>
      <c r="J14" s="1"/>
      <c r="K14" s="7"/>
      <c r="L14" s="7"/>
      <c r="M14" s="7"/>
      <c r="N14" s="7"/>
    </row>
    <row r="15" spans="1:14" ht="15" customHeight="1">
      <c r="A15" s="3" t="s">
        <v>46</v>
      </c>
      <c r="B15" s="5" t="s">
        <v>11</v>
      </c>
      <c r="C15" s="8">
        <v>19.670000000000002</v>
      </c>
      <c r="D15" s="5" t="s">
        <v>6</v>
      </c>
      <c r="F15" s="56"/>
      <c r="H15" s="20"/>
      <c r="I15" s="2"/>
      <c r="J15" s="1"/>
      <c r="K15" s="7"/>
      <c r="L15" s="7"/>
      <c r="M15" s="7"/>
      <c r="N15" s="7"/>
    </row>
    <row r="16" spans="1:14" ht="15" customHeight="1">
      <c r="A16" s="3" t="s">
        <v>46</v>
      </c>
      <c r="B16" s="5" t="s">
        <v>23</v>
      </c>
      <c r="C16" s="8">
        <v>29.6902396259498</v>
      </c>
      <c r="D16" s="5" t="s">
        <v>1</v>
      </c>
      <c r="F16" s="56"/>
      <c r="H16" s="20"/>
      <c r="I16" s="2"/>
      <c r="J16" s="1"/>
      <c r="K16" s="7"/>
      <c r="L16" s="7"/>
      <c r="M16" s="7"/>
      <c r="N16" s="7"/>
    </row>
    <row r="17" spans="1:14" ht="15" customHeight="1">
      <c r="A17" s="3" t="s">
        <v>46</v>
      </c>
      <c r="B17" s="5" t="s">
        <v>3</v>
      </c>
      <c r="C17" s="9">
        <v>1.91321636762387</v>
      </c>
      <c r="D17" s="5" t="s">
        <v>12</v>
      </c>
      <c r="F17" s="56"/>
      <c r="H17" s="20"/>
      <c r="I17" s="2"/>
      <c r="J17" s="1"/>
      <c r="K17" s="7"/>
      <c r="L17" s="7"/>
      <c r="M17" s="7"/>
      <c r="N17" s="7"/>
    </row>
    <row r="18" spans="1:14" ht="15" customHeight="1">
      <c r="A18" s="3" t="s">
        <v>46</v>
      </c>
      <c r="B18" s="5" t="s">
        <v>4</v>
      </c>
      <c r="C18" s="9">
        <v>1.47522001126834</v>
      </c>
      <c r="D18" s="5" t="s">
        <v>12</v>
      </c>
      <c r="F18" s="56"/>
      <c r="H18" s="20"/>
      <c r="J18" s="6"/>
      <c r="K18" s="7"/>
      <c r="L18" s="7"/>
      <c r="M18" s="7"/>
      <c r="N18" s="7"/>
    </row>
    <row r="19" spans="1:14" ht="15" customHeight="1">
      <c r="A19" s="3" t="s">
        <v>46</v>
      </c>
      <c r="B19" s="5" t="s">
        <v>5</v>
      </c>
      <c r="C19" s="13">
        <v>0.83023547631966099</v>
      </c>
      <c r="D19" s="5" t="s">
        <v>0</v>
      </c>
      <c r="F19" s="56"/>
      <c r="H19" s="20"/>
      <c r="J19" s="6"/>
      <c r="K19" s="7"/>
      <c r="L19" s="7"/>
      <c r="M19" s="7"/>
      <c r="N19" s="7"/>
    </row>
    <row r="20" spans="1:14" ht="15" customHeight="1">
      <c r="A20" s="3" t="s">
        <v>46</v>
      </c>
      <c r="B20" s="5" t="s">
        <v>47</v>
      </c>
      <c r="C20" s="10">
        <v>96.555313855559007</v>
      </c>
      <c r="D20" s="5" t="s">
        <v>1</v>
      </c>
      <c r="F20" s="56"/>
      <c r="H20" s="20"/>
      <c r="J20" s="6"/>
      <c r="K20" s="7"/>
      <c r="L20" s="7"/>
      <c r="M20" s="7"/>
      <c r="N20" s="7"/>
    </row>
    <row r="21" spans="1:14" ht="15" customHeight="1">
      <c r="A21" s="3" t="s">
        <v>46</v>
      </c>
      <c r="B21" s="5" t="s">
        <v>49</v>
      </c>
      <c r="C21" s="9">
        <v>2.7</v>
      </c>
      <c r="D21" s="5" t="s">
        <v>12</v>
      </c>
      <c r="F21" s="56"/>
      <c r="H21" s="20"/>
      <c r="J21" s="6"/>
      <c r="K21" s="7"/>
      <c r="L21" s="7"/>
      <c r="M21" s="7"/>
      <c r="N21" s="7"/>
    </row>
    <row r="22" spans="1:14" ht="15" customHeight="1">
      <c r="A22" s="3" t="s">
        <v>46</v>
      </c>
      <c r="B22" s="5" t="s">
        <v>50</v>
      </c>
      <c r="C22" s="10">
        <v>45</v>
      </c>
      <c r="D22" s="5" t="s">
        <v>2</v>
      </c>
      <c r="F22" s="56"/>
      <c r="H22" s="20"/>
      <c r="J22" s="6"/>
      <c r="K22" s="7"/>
      <c r="L22" s="7"/>
      <c r="M22" s="7"/>
      <c r="N22" s="7"/>
    </row>
    <row r="23" spans="1:14" ht="15" customHeight="1">
      <c r="A23" s="3" t="s">
        <v>46</v>
      </c>
      <c r="B23" s="5" t="s">
        <v>51</v>
      </c>
      <c r="C23" s="10">
        <v>60</v>
      </c>
      <c r="D23" s="5" t="s">
        <v>2</v>
      </c>
      <c r="F23" s="56"/>
      <c r="H23" s="20"/>
      <c r="J23" s="6"/>
      <c r="K23" s="7"/>
      <c r="L23" s="7"/>
      <c r="M23" s="7"/>
      <c r="N23" s="7"/>
    </row>
    <row r="24" spans="1:14" ht="15" customHeight="1">
      <c r="A24" s="3" t="s">
        <v>46</v>
      </c>
      <c r="B24" s="5" t="s">
        <v>52</v>
      </c>
      <c r="C24" s="10" t="s">
        <v>93</v>
      </c>
      <c r="D24" s="5" t="s">
        <v>2</v>
      </c>
      <c r="F24" s="56"/>
      <c r="H24" s="20"/>
      <c r="J24" s="6"/>
      <c r="K24" s="7"/>
      <c r="L24" s="7"/>
      <c r="M24" s="7"/>
      <c r="N24" s="7"/>
    </row>
    <row r="25" spans="1:14" ht="15" customHeight="1">
      <c r="A25" s="3" t="s">
        <v>46</v>
      </c>
      <c r="B25" s="5" t="s">
        <v>53</v>
      </c>
      <c r="C25" s="10" t="s">
        <v>93</v>
      </c>
      <c r="D25" s="5" t="s">
        <v>2</v>
      </c>
      <c r="F25" s="56"/>
      <c r="I25" s="6"/>
      <c r="J25" s="6"/>
      <c r="K25" s="7"/>
      <c r="L25" s="7"/>
      <c r="M25" s="7"/>
      <c r="N25" s="7"/>
    </row>
    <row r="26" spans="1:14" ht="15" customHeight="1">
      <c r="C26" s="4"/>
      <c r="D26" s="5"/>
      <c r="F26" s="56"/>
      <c r="I26" s="6"/>
      <c r="J26" s="6"/>
      <c r="K26" s="7"/>
      <c r="L26" s="7"/>
      <c r="M26" s="7"/>
      <c r="N26" s="7"/>
    </row>
    <row r="27" spans="1:14" ht="15" customHeight="1">
      <c r="B27" s="11" t="s">
        <v>54</v>
      </c>
      <c r="C27" s="4"/>
      <c r="D27" s="5"/>
    </row>
    <row r="28" spans="1:14" ht="15" customHeight="1">
      <c r="A28" s="80" t="s">
        <v>54</v>
      </c>
      <c r="B28" s="59" t="s">
        <v>26</v>
      </c>
      <c r="C28" s="10">
        <v>439.97974680539102</v>
      </c>
      <c r="D28" s="5" t="s">
        <v>2</v>
      </c>
      <c r="H28" s="20"/>
      <c r="J28" s="6"/>
      <c r="K28" s="7"/>
      <c r="L28" s="7"/>
      <c r="M28" s="7"/>
      <c r="N28" s="7"/>
    </row>
    <row r="29" spans="1:14" ht="15" customHeight="1">
      <c r="A29" s="80" t="s">
        <v>54</v>
      </c>
      <c r="B29" s="27" t="s">
        <v>14</v>
      </c>
      <c r="C29" s="9">
        <v>12.524148449415399</v>
      </c>
      <c r="D29" s="5" t="s">
        <v>1</v>
      </c>
      <c r="H29" s="20"/>
      <c r="J29" s="6"/>
      <c r="K29" s="7"/>
      <c r="L29" s="7" t="str">
        <f t="shared" ref="L29:L33" ca="1" si="0">IF(J29="","",COLUMN(INDIRECT(J29,TRUE)))</f>
        <v/>
      </c>
      <c r="M29" s="7"/>
      <c r="N29" s="7"/>
    </row>
    <row r="30" spans="1:14" ht="15" customHeight="1">
      <c r="A30" s="80" t="s">
        <v>54</v>
      </c>
      <c r="B30" s="27" t="s">
        <v>3</v>
      </c>
      <c r="C30" s="9">
        <v>2.0439639642670802</v>
      </c>
      <c r="D30" s="5" t="s">
        <v>12</v>
      </c>
      <c r="H30" s="20"/>
      <c r="J30" s="6"/>
      <c r="K30" s="7"/>
      <c r="L30" s="7" t="str">
        <f t="shared" ca="1" si="0"/>
        <v/>
      </c>
      <c r="M30" s="7"/>
      <c r="N30" s="7"/>
    </row>
    <row r="31" spans="1:14" ht="15" customHeight="1">
      <c r="A31" s="80" t="s">
        <v>54</v>
      </c>
      <c r="B31" s="27" t="s">
        <v>4</v>
      </c>
      <c r="C31" s="9">
        <v>1.68643115227665</v>
      </c>
      <c r="D31" s="5" t="s">
        <v>12</v>
      </c>
      <c r="H31" s="20"/>
      <c r="J31" s="6"/>
      <c r="K31" s="7"/>
      <c r="L31" s="7" t="str">
        <f t="shared" ca="1" si="0"/>
        <v/>
      </c>
      <c r="M31" s="7"/>
      <c r="N31" s="7"/>
    </row>
    <row r="32" spans="1:14" ht="15" customHeight="1">
      <c r="A32" s="80" t="s">
        <v>54</v>
      </c>
      <c r="B32" s="27" t="s">
        <v>5</v>
      </c>
      <c r="C32" s="13">
        <v>0.60101406829152304</v>
      </c>
      <c r="D32" s="5" t="s">
        <v>0</v>
      </c>
      <c r="H32" s="20"/>
      <c r="J32" s="6"/>
      <c r="K32" s="7"/>
      <c r="L32" s="7" t="str">
        <f t="shared" ca="1" si="0"/>
        <v/>
      </c>
      <c r="M32" s="7"/>
      <c r="N32" s="7"/>
    </row>
    <row r="33" spans="1:14" ht="15" customHeight="1">
      <c r="A33" s="80" t="s">
        <v>54</v>
      </c>
      <c r="B33" s="27" t="s">
        <v>23</v>
      </c>
      <c r="C33" s="8">
        <v>21.2005578471299</v>
      </c>
      <c r="D33" s="5" t="s">
        <v>1</v>
      </c>
      <c r="H33" s="20"/>
      <c r="J33" s="6"/>
      <c r="K33" s="7"/>
      <c r="L33" s="7" t="str">
        <f t="shared" ca="1" si="0"/>
        <v/>
      </c>
      <c r="M33" s="7"/>
      <c r="N33" s="7"/>
    </row>
    <row r="34" spans="1:14" ht="15" customHeight="1">
      <c r="C34" s="4"/>
      <c r="D34" s="5"/>
      <c r="F34" s="56"/>
    </row>
    <row r="35" spans="1:14" ht="15" customHeight="1">
      <c r="B35" s="11" t="s">
        <v>55</v>
      </c>
      <c r="C35" s="4"/>
      <c r="D35" s="5"/>
      <c r="F35" s="56"/>
    </row>
    <row r="36" spans="1:14" ht="15" customHeight="1">
      <c r="A36" s="80" t="s">
        <v>55</v>
      </c>
      <c r="B36" s="59" t="s">
        <v>26</v>
      </c>
      <c r="C36" s="10">
        <v>181.91242360171699</v>
      </c>
      <c r="D36" s="5" t="s">
        <v>2</v>
      </c>
      <c r="F36" s="56"/>
      <c r="H36" s="20"/>
      <c r="J36" s="6"/>
      <c r="K36" s="7"/>
      <c r="L36" s="7" t="str">
        <f t="shared" ref="L36" ca="1" si="1">IF(J36="","",COLUMN(INDIRECT(J36,TRUE)))</f>
        <v/>
      </c>
      <c r="M36" s="7"/>
      <c r="N36" s="7"/>
    </row>
    <row r="37" spans="1:14" ht="15" customHeight="1">
      <c r="A37" s="80" t="s">
        <v>55</v>
      </c>
      <c r="B37" s="27" t="s">
        <v>14</v>
      </c>
      <c r="C37" s="9">
        <v>11.9949161159126</v>
      </c>
      <c r="D37" s="5" t="s">
        <v>1</v>
      </c>
      <c r="F37" s="56"/>
      <c r="H37" s="20"/>
      <c r="J37" s="6"/>
      <c r="K37" s="7"/>
      <c r="L37" s="7" t="str">
        <f t="shared" ref="L37:L41" ca="1" si="2">IF(J37="","",COLUMN(INDIRECT(J37,TRUE)))</f>
        <v/>
      </c>
      <c r="M37" s="7"/>
      <c r="N37" s="7"/>
    </row>
    <row r="38" spans="1:14" ht="15" customHeight="1">
      <c r="A38" s="80" t="s">
        <v>55</v>
      </c>
      <c r="B38" s="27" t="s">
        <v>3</v>
      </c>
      <c r="C38" s="9">
        <v>2.0376859237208098</v>
      </c>
      <c r="D38" s="5" t="s">
        <v>12</v>
      </c>
      <c r="H38" s="20"/>
      <c r="J38" s="6"/>
      <c r="K38" s="7"/>
      <c r="L38" s="7" t="str">
        <f t="shared" ca="1" si="2"/>
        <v/>
      </c>
      <c r="M38" s="7"/>
      <c r="N38" s="7"/>
    </row>
    <row r="39" spans="1:14" ht="15" customHeight="1">
      <c r="A39" s="80" t="s">
        <v>55</v>
      </c>
      <c r="B39" s="27" t="s">
        <v>4</v>
      </c>
      <c r="C39" s="9">
        <v>1.67628953483115</v>
      </c>
      <c r="D39" s="5" t="s">
        <v>12</v>
      </c>
      <c r="H39" s="20"/>
      <c r="J39" s="6"/>
      <c r="K39" s="7"/>
      <c r="L39" s="7" t="str">
        <f t="shared" ca="1" si="2"/>
        <v/>
      </c>
      <c r="M39" s="7"/>
      <c r="N39" s="7"/>
    </row>
    <row r="40" spans="1:14" ht="15" customHeight="1">
      <c r="A40" s="80" t="s">
        <v>55</v>
      </c>
      <c r="B40" s="27" t="s">
        <v>5</v>
      </c>
      <c r="C40" s="13">
        <v>0.61070026621144502</v>
      </c>
      <c r="D40" s="5" t="s">
        <v>0</v>
      </c>
      <c r="H40" s="20"/>
      <c r="J40" s="6"/>
      <c r="K40" s="7"/>
      <c r="L40" s="7" t="str">
        <f t="shared" ca="1" si="2"/>
        <v/>
      </c>
      <c r="M40" s="7"/>
      <c r="N40" s="7"/>
    </row>
    <row r="41" spans="1:14" ht="15" customHeight="1">
      <c r="A41" s="80" t="s">
        <v>55</v>
      </c>
      <c r="B41" s="27" t="s">
        <v>23</v>
      </c>
      <c r="C41" s="8">
        <v>21.559305918238099</v>
      </c>
      <c r="D41" s="5" t="s">
        <v>1</v>
      </c>
      <c r="H41" s="20"/>
      <c r="J41" s="6"/>
      <c r="K41" s="7"/>
      <c r="L41" s="7" t="str">
        <f t="shared" ca="1" si="2"/>
        <v/>
      </c>
      <c r="M41" s="7"/>
      <c r="N41" s="7"/>
    </row>
    <row r="42" spans="1:14" ht="15" customHeight="1">
      <c r="B42" s="27"/>
      <c r="C42" s="8"/>
      <c r="D42" s="5"/>
      <c r="I42" s="17"/>
      <c r="J42" s="7"/>
      <c r="K42" s="7"/>
      <c r="L42" s="7"/>
      <c r="M42" s="7"/>
      <c r="N42" s="7"/>
    </row>
    <row r="43" spans="1:14" ht="30" customHeight="1">
      <c r="B43" s="82" t="s">
        <v>65</v>
      </c>
      <c r="C43" s="8"/>
      <c r="D43" s="5"/>
      <c r="I43" s="17"/>
      <c r="J43" s="7"/>
      <c r="K43" s="7"/>
      <c r="L43" s="7"/>
      <c r="M43" s="7"/>
      <c r="N43" s="7"/>
    </row>
    <row r="44" spans="1:14" ht="15" customHeight="1">
      <c r="B44" s="82"/>
      <c r="C44" s="8"/>
      <c r="D44" s="5"/>
      <c r="I44" s="17"/>
      <c r="J44" s="7"/>
      <c r="K44" s="7"/>
      <c r="L44" s="7"/>
      <c r="M44" s="7"/>
      <c r="N44" s="7"/>
    </row>
    <row r="45" spans="1:14" ht="15" customHeight="1">
      <c r="A45" s="65" t="s">
        <v>65</v>
      </c>
      <c r="B45" s="64" t="s">
        <v>69</v>
      </c>
      <c r="C45" s="10"/>
      <c r="D45" s="5" t="s">
        <v>2</v>
      </c>
    </row>
    <row r="46" spans="1:14" ht="15" customHeight="1">
      <c r="A46" s="65" t="s">
        <v>65</v>
      </c>
      <c r="B46" s="65" t="s">
        <v>30</v>
      </c>
      <c r="C46" s="10"/>
      <c r="D46" s="5" t="s">
        <v>2</v>
      </c>
      <c r="H46" s="20"/>
      <c r="J46" s="6"/>
      <c r="K46" s="7"/>
      <c r="L46" s="7"/>
      <c r="M46" s="7"/>
      <c r="N46" s="7"/>
    </row>
    <row r="47" spans="1:14" ht="15" customHeight="1">
      <c r="A47" s="65" t="s">
        <v>65</v>
      </c>
      <c r="B47" s="65" t="s">
        <v>31</v>
      </c>
      <c r="C47" s="10"/>
      <c r="D47" s="5" t="s">
        <v>2</v>
      </c>
      <c r="H47" s="20"/>
      <c r="J47" s="6"/>
      <c r="K47" s="7"/>
      <c r="L47" s="7"/>
      <c r="M47" s="7"/>
      <c r="N47" s="7"/>
    </row>
    <row r="48" spans="1:14" ht="15" customHeight="1">
      <c r="A48" s="65" t="s">
        <v>65</v>
      </c>
      <c r="B48" s="65" t="s">
        <v>32</v>
      </c>
      <c r="C48" s="10"/>
      <c r="D48" s="5" t="s">
        <v>2</v>
      </c>
      <c r="H48" s="20"/>
      <c r="J48" s="6"/>
      <c r="K48" s="7"/>
      <c r="L48" s="7"/>
      <c r="M48" s="7"/>
      <c r="N48" s="7"/>
    </row>
    <row r="49" spans="1:15" ht="15" customHeight="1">
      <c r="A49" s="65" t="s">
        <v>65</v>
      </c>
      <c r="B49" s="65" t="s">
        <v>33</v>
      </c>
      <c r="C49" s="9"/>
      <c r="D49" s="5" t="s">
        <v>34</v>
      </c>
      <c r="H49" s="20"/>
      <c r="J49" s="6"/>
      <c r="K49" s="7"/>
      <c r="L49" s="7"/>
      <c r="M49" s="7"/>
      <c r="N49" s="7"/>
    </row>
    <row r="50" spans="1:15" ht="15" customHeight="1">
      <c r="A50" s="65" t="s">
        <v>65</v>
      </c>
      <c r="B50" s="65" t="s">
        <v>35</v>
      </c>
      <c r="C50" s="10"/>
      <c r="D50" s="5" t="s">
        <v>0</v>
      </c>
      <c r="H50" s="20"/>
      <c r="J50" s="6"/>
      <c r="K50" s="7"/>
      <c r="L50" s="7"/>
      <c r="M50" s="7"/>
      <c r="N50" s="7"/>
    </row>
    <row r="51" spans="1:15" ht="15" customHeight="1">
      <c r="A51" s="65" t="s">
        <v>65</v>
      </c>
      <c r="B51" s="65" t="s">
        <v>14</v>
      </c>
      <c r="C51" s="9"/>
      <c r="D51" s="5" t="s">
        <v>1</v>
      </c>
      <c r="H51" s="20"/>
      <c r="J51" s="6"/>
      <c r="K51" s="7"/>
      <c r="L51" s="7"/>
      <c r="M51" s="7"/>
      <c r="N51" s="7"/>
    </row>
    <row r="52" spans="1:15" ht="15" customHeight="1">
      <c r="A52" s="65" t="s">
        <v>65</v>
      </c>
      <c r="B52" s="65" t="s">
        <v>3</v>
      </c>
      <c r="C52" s="9"/>
      <c r="D52" s="5" t="s">
        <v>12</v>
      </c>
      <c r="H52" s="20"/>
      <c r="J52" s="6"/>
      <c r="K52" s="7"/>
      <c r="L52" s="7"/>
      <c r="M52" s="7"/>
      <c r="N52" s="7"/>
    </row>
    <row r="53" spans="1:15" ht="15" customHeight="1">
      <c r="A53" s="65" t="s">
        <v>65</v>
      </c>
      <c r="B53" s="65" t="s">
        <v>4</v>
      </c>
      <c r="C53" s="9"/>
      <c r="D53" s="5" t="s">
        <v>12</v>
      </c>
      <c r="H53" s="20"/>
      <c r="J53" s="6"/>
      <c r="K53" s="7"/>
      <c r="L53" s="7"/>
      <c r="M53" s="7"/>
      <c r="N53" s="7"/>
    </row>
    <row r="54" spans="1:15" ht="15" customHeight="1">
      <c r="A54" s="65" t="s">
        <v>65</v>
      </c>
      <c r="B54" s="65" t="s">
        <v>5</v>
      </c>
      <c r="C54" s="13"/>
      <c r="D54" s="5" t="s">
        <v>0</v>
      </c>
      <c r="H54" s="20"/>
      <c r="J54" s="6"/>
      <c r="K54" s="7"/>
      <c r="L54" s="7"/>
      <c r="M54" s="7"/>
      <c r="N54" s="7"/>
    </row>
    <row r="55" spans="1:15" ht="15" customHeight="1">
      <c r="B55" s="65"/>
      <c r="C55" s="8"/>
      <c r="D55" s="5"/>
      <c r="I55" s="19"/>
      <c r="L55" s="7"/>
      <c r="M55" s="7"/>
      <c r="N55" s="7"/>
    </row>
    <row r="56" spans="1:15" ht="15" customHeight="1">
      <c r="A56" s="65" t="s">
        <v>65</v>
      </c>
      <c r="B56" s="66" t="s">
        <v>70</v>
      </c>
      <c r="C56" s="67" t="s">
        <v>36</v>
      </c>
      <c r="D56" s="67" t="s">
        <v>37</v>
      </c>
      <c r="E56" s="68" t="s">
        <v>38</v>
      </c>
      <c r="F56" s="69" t="s">
        <v>39</v>
      </c>
      <c r="H56" s="20"/>
      <c r="J56" s="6"/>
      <c r="K56" s="7"/>
      <c r="L56" s="7"/>
      <c r="M56" s="7"/>
      <c r="N56" s="7"/>
      <c r="O56" s="39"/>
    </row>
    <row r="57" spans="1:15" ht="15" customHeight="1">
      <c r="A57" s="65" t="s">
        <v>65</v>
      </c>
      <c r="B57" s="66" t="s">
        <v>0</v>
      </c>
      <c r="C57" s="4" t="s">
        <v>1</v>
      </c>
      <c r="D57" s="4" t="s">
        <v>1</v>
      </c>
      <c r="E57" s="4" t="s">
        <v>27</v>
      </c>
      <c r="F57" s="4" t="s">
        <v>1</v>
      </c>
      <c r="H57" s="20"/>
      <c r="J57" s="6"/>
      <c r="K57" s="7"/>
      <c r="L57" s="7"/>
      <c r="M57" s="7"/>
      <c r="N57" s="7"/>
      <c r="O57" s="39"/>
    </row>
    <row r="58" spans="1:15" ht="15" customHeight="1">
      <c r="A58" s="65" t="s">
        <v>65</v>
      </c>
      <c r="B58" s="66"/>
      <c r="C58" s="9"/>
      <c r="D58" s="9"/>
      <c r="E58" s="9"/>
      <c r="F58" s="9"/>
      <c r="H58" s="20"/>
      <c r="J58" s="6"/>
      <c r="K58" s="7"/>
      <c r="L58" s="7"/>
      <c r="M58" s="7"/>
      <c r="N58" s="7"/>
      <c r="O58" s="39"/>
    </row>
    <row r="59" spans="1:15" s="70" customFormat="1" ht="15" customHeight="1">
      <c r="A59" s="65" t="s">
        <v>65</v>
      </c>
      <c r="B59" s="66"/>
      <c r="C59" s="9"/>
      <c r="D59" s="9"/>
      <c r="E59" s="9"/>
      <c r="F59" s="9"/>
    </row>
    <row r="60" spans="1:15" s="70" customFormat="1" ht="15" customHeight="1">
      <c r="A60" s="65" t="s">
        <v>65</v>
      </c>
      <c r="B60" s="66"/>
      <c r="C60" s="9"/>
      <c r="D60" s="9"/>
      <c r="E60" s="9"/>
      <c r="F60" s="9"/>
    </row>
    <row r="61" spans="1:15" s="70" customFormat="1" ht="15" customHeight="1">
      <c r="A61" s="65" t="s">
        <v>65</v>
      </c>
      <c r="B61" s="66"/>
      <c r="C61" s="9"/>
      <c r="D61" s="9"/>
      <c r="E61" s="9"/>
      <c r="F61" s="9"/>
    </row>
    <row r="62" spans="1:15" s="70" customFormat="1" ht="15" customHeight="1">
      <c r="A62" s="65" t="s">
        <v>65</v>
      </c>
      <c r="B62" s="66"/>
      <c r="C62" s="9"/>
      <c r="D62" s="9"/>
      <c r="E62" s="9"/>
      <c r="F62" s="9"/>
    </row>
    <row r="63" spans="1:15" s="70" customFormat="1" ht="15" customHeight="1">
      <c r="A63" s="65" t="s">
        <v>65</v>
      </c>
      <c r="B63" s="66"/>
      <c r="C63" s="9"/>
      <c r="D63" s="9"/>
      <c r="E63" s="9"/>
      <c r="F63" s="9"/>
    </row>
    <row r="64" spans="1:15" s="70" customFormat="1" ht="15" customHeight="1">
      <c r="A64" s="65" t="s">
        <v>65</v>
      </c>
      <c r="B64" s="66"/>
      <c r="C64" s="9"/>
      <c r="D64" s="9"/>
      <c r="E64" s="9"/>
      <c r="F64" s="9"/>
    </row>
    <row r="65" spans="1:6" s="70" customFormat="1" ht="15" customHeight="1">
      <c r="A65" s="65" t="s">
        <v>65</v>
      </c>
      <c r="B65" s="66"/>
      <c r="C65" s="9"/>
      <c r="D65" s="9"/>
      <c r="E65" s="9"/>
      <c r="F65" s="9"/>
    </row>
    <row r="66" spans="1:6" s="70" customFormat="1" ht="15" customHeight="1">
      <c r="A66" s="65" t="s">
        <v>65</v>
      </c>
      <c r="B66" s="66"/>
      <c r="C66" s="9"/>
      <c r="D66" s="9"/>
      <c r="E66" s="9"/>
      <c r="F66" s="9"/>
    </row>
    <row r="67" spans="1:6" s="70" customFormat="1" ht="15" customHeight="1">
      <c r="A67" s="65" t="s">
        <v>65</v>
      </c>
      <c r="B67" s="66"/>
      <c r="C67" s="9"/>
      <c r="D67" s="9"/>
      <c r="E67" s="9"/>
      <c r="F67" s="9"/>
    </row>
    <row r="68" spans="1:6" s="70" customFormat="1" ht="15" customHeight="1">
      <c r="A68" s="65" t="s">
        <v>65</v>
      </c>
      <c r="B68" s="66"/>
      <c r="C68" s="9"/>
      <c r="D68" s="9"/>
      <c r="E68" s="9"/>
      <c r="F68" s="9"/>
    </row>
    <row r="69" spans="1:6" s="70" customFormat="1" ht="15" customHeight="1">
      <c r="A69" s="65" t="s">
        <v>65</v>
      </c>
      <c r="B69" s="66"/>
      <c r="C69" s="9"/>
      <c r="D69" s="9"/>
      <c r="E69" s="9"/>
      <c r="F69" s="9"/>
    </row>
    <row r="70" spans="1:6" s="70" customFormat="1" ht="15" customHeight="1">
      <c r="A70" s="65" t="s">
        <v>65</v>
      </c>
      <c r="B70" s="66"/>
      <c r="C70" s="9"/>
      <c r="D70" s="9"/>
      <c r="E70" s="9"/>
      <c r="F70" s="9"/>
    </row>
    <row r="71" spans="1:6" s="70" customFormat="1" ht="15" customHeight="1">
      <c r="A71" s="65" t="s">
        <v>65</v>
      </c>
      <c r="B71" s="66"/>
      <c r="C71" s="9"/>
      <c r="D71" s="9"/>
      <c r="E71" s="9"/>
      <c r="F71" s="9"/>
    </row>
    <row r="72" spans="1:6" s="70" customFormat="1" ht="15" customHeight="1">
      <c r="A72" s="65" t="s">
        <v>65</v>
      </c>
      <c r="B72" s="66"/>
      <c r="C72" s="9"/>
      <c r="D72" s="9"/>
      <c r="E72" s="9"/>
      <c r="F72" s="9"/>
    </row>
    <row r="73" spans="1:6" s="70" customFormat="1" ht="15" customHeight="1">
      <c r="A73" s="65" t="s">
        <v>65</v>
      </c>
      <c r="B73" s="66"/>
      <c r="C73" s="9"/>
      <c r="D73" s="9"/>
      <c r="E73" s="9"/>
      <c r="F73" s="9"/>
    </row>
    <row r="74" spans="1:6" s="70" customFormat="1" ht="15" customHeight="1">
      <c r="A74" s="65" t="s">
        <v>65</v>
      </c>
      <c r="B74" s="66"/>
      <c r="C74" s="9"/>
      <c r="D74" s="9"/>
      <c r="E74" s="9"/>
      <c r="F74" s="9"/>
    </row>
    <row r="75" spans="1:6" s="70" customFormat="1" ht="15" customHeight="1">
      <c r="A75" s="65" t="s">
        <v>65</v>
      </c>
      <c r="B75" s="66"/>
      <c r="C75" s="9"/>
      <c r="D75" s="9"/>
      <c r="E75" s="9"/>
      <c r="F75" s="9"/>
    </row>
    <row r="76" spans="1:6" s="70" customFormat="1" ht="15" customHeight="1">
      <c r="A76" s="65" t="s">
        <v>65</v>
      </c>
      <c r="B76" s="66"/>
      <c r="C76" s="9"/>
      <c r="D76" s="9"/>
      <c r="E76" s="9"/>
      <c r="F76" s="9"/>
    </row>
    <row r="77" spans="1:6" s="70" customFormat="1" ht="15" customHeight="1">
      <c r="A77" s="65" t="s">
        <v>65</v>
      </c>
      <c r="B77" s="66"/>
      <c r="C77" s="9"/>
      <c r="D77" s="9"/>
      <c r="E77" s="9"/>
      <c r="F77" s="9"/>
    </row>
    <row r="78" spans="1:6" s="70" customFormat="1" ht="15" customHeight="1">
      <c r="A78" s="65" t="s">
        <v>65</v>
      </c>
      <c r="B78" s="66"/>
      <c r="C78" s="9"/>
      <c r="D78" s="9"/>
      <c r="E78" s="9"/>
      <c r="F78" s="9"/>
    </row>
    <row r="79" spans="1:6" s="70" customFormat="1" ht="15" customHeight="1">
      <c r="A79" s="65" t="s">
        <v>65</v>
      </c>
      <c r="B79" s="66"/>
      <c r="C79" s="9"/>
      <c r="D79" s="9"/>
      <c r="E79" s="9"/>
      <c r="F79" s="9"/>
    </row>
    <row r="80" spans="1:6" s="70" customFormat="1" ht="15" customHeight="1">
      <c r="A80" s="65" t="s">
        <v>65</v>
      </c>
      <c r="B80" s="66"/>
      <c r="C80" s="9"/>
      <c r="D80" s="9"/>
      <c r="E80" s="9"/>
      <c r="F80" s="9"/>
    </row>
    <row r="81" spans="1:15" s="70" customFormat="1" ht="15" customHeight="1">
      <c r="A81" s="65" t="s">
        <v>65</v>
      </c>
      <c r="B81" s="66"/>
      <c r="C81" s="9"/>
      <c r="D81" s="9"/>
      <c r="E81" s="9"/>
      <c r="F81" s="9"/>
    </row>
    <row r="82" spans="1:15" s="70" customFormat="1" ht="15" customHeight="1">
      <c r="A82" s="65" t="s">
        <v>65</v>
      </c>
      <c r="B82" s="66"/>
      <c r="C82" s="9"/>
      <c r="D82" s="9"/>
      <c r="E82" s="9"/>
      <c r="F82" s="9"/>
    </row>
    <row r="83" spans="1:15" s="70" customFormat="1" ht="15" customHeight="1">
      <c r="A83" s="65" t="s">
        <v>65</v>
      </c>
      <c r="B83" s="66"/>
      <c r="C83" s="9"/>
      <c r="D83" s="9"/>
      <c r="E83" s="9"/>
      <c r="F83" s="9"/>
    </row>
    <row r="84" spans="1:15" s="70" customFormat="1" ht="15" customHeight="1">
      <c r="A84" s="65" t="s">
        <v>65</v>
      </c>
      <c r="B84" s="66"/>
      <c r="C84" s="9"/>
      <c r="D84" s="9"/>
      <c r="E84" s="9"/>
      <c r="F84" s="9"/>
    </row>
    <row r="85" spans="1:15" s="70" customFormat="1" ht="15" customHeight="1">
      <c r="A85" s="65" t="s">
        <v>65</v>
      </c>
      <c r="B85" s="66"/>
      <c r="C85" s="9"/>
      <c r="D85" s="9"/>
      <c r="E85" s="9"/>
      <c r="F85" s="9"/>
    </row>
    <row r="86" spans="1:15" s="70" customFormat="1" ht="15" customHeight="1">
      <c r="A86" s="65" t="s">
        <v>65</v>
      </c>
      <c r="B86" s="66"/>
      <c r="C86" s="9"/>
      <c r="D86" s="9"/>
      <c r="E86" s="9"/>
      <c r="F86" s="9"/>
    </row>
    <row r="87" spans="1:15" s="70" customFormat="1" ht="15" customHeight="1">
      <c r="A87" s="65" t="s">
        <v>65</v>
      </c>
      <c r="B87" s="66"/>
      <c r="C87" s="9"/>
      <c r="D87" s="9"/>
      <c r="E87" s="9"/>
      <c r="F87" s="9"/>
    </row>
    <row r="88" spans="1:15" s="70" customFormat="1" ht="15" customHeight="1">
      <c r="A88" s="34"/>
    </row>
    <row r="89" spans="1:15" ht="15" customHeight="1">
      <c r="B89" s="11" t="s">
        <v>56</v>
      </c>
      <c r="C89" s="8"/>
      <c r="D89" s="5"/>
      <c r="H89" s="20"/>
      <c r="J89" s="6"/>
      <c r="K89" s="7"/>
      <c r="L89" s="7"/>
      <c r="M89" s="7"/>
      <c r="N89" s="7"/>
      <c r="O89" s="39"/>
    </row>
    <row r="90" spans="1:15" ht="15" customHeight="1">
      <c r="A90" s="80" t="s">
        <v>56</v>
      </c>
      <c r="B90" s="64" t="s">
        <v>26</v>
      </c>
      <c r="C90" s="10"/>
      <c r="D90" s="5" t="s">
        <v>2</v>
      </c>
      <c r="H90" s="20"/>
      <c r="J90" s="6"/>
      <c r="K90" s="7"/>
      <c r="L90" s="7"/>
      <c r="M90" s="7"/>
      <c r="N90" s="7"/>
      <c r="O90" s="39"/>
    </row>
    <row r="91" spans="1:15" ht="15" customHeight="1">
      <c r="A91" s="80" t="s">
        <v>56</v>
      </c>
      <c r="B91" s="65" t="s">
        <v>14</v>
      </c>
      <c r="C91" s="9"/>
      <c r="D91" s="5" t="s">
        <v>1</v>
      </c>
      <c r="H91" s="20"/>
      <c r="J91" s="6"/>
      <c r="K91" s="7"/>
      <c r="L91" s="7"/>
      <c r="M91" s="7"/>
      <c r="N91" s="7"/>
      <c r="O91" s="39"/>
    </row>
    <row r="92" spans="1:15" ht="15" customHeight="1">
      <c r="A92" s="80" t="s">
        <v>56</v>
      </c>
      <c r="B92" s="65" t="s">
        <v>3</v>
      </c>
      <c r="C92" s="9"/>
      <c r="D92" s="5" t="s">
        <v>12</v>
      </c>
      <c r="H92" s="20"/>
      <c r="J92" s="6"/>
      <c r="K92" s="7"/>
      <c r="L92" s="7"/>
      <c r="M92" s="7"/>
      <c r="N92" s="7"/>
      <c r="O92" s="39"/>
    </row>
    <row r="93" spans="1:15" ht="15" customHeight="1">
      <c r="A93" s="80" t="s">
        <v>56</v>
      </c>
      <c r="B93" s="65" t="s">
        <v>4</v>
      </c>
      <c r="C93" s="9"/>
      <c r="D93" s="5" t="s">
        <v>12</v>
      </c>
      <c r="F93" s="61"/>
      <c r="I93" s="19"/>
      <c r="L93" s="7"/>
      <c r="M93" s="7"/>
      <c r="N93" s="7"/>
      <c r="O93" s="39"/>
    </row>
    <row r="94" spans="1:15" ht="15" customHeight="1">
      <c r="A94" s="80" t="s">
        <v>56</v>
      </c>
      <c r="B94" s="65" t="s">
        <v>5</v>
      </c>
      <c r="C94" s="13"/>
      <c r="D94" s="5" t="s">
        <v>0</v>
      </c>
      <c r="I94" s="34"/>
      <c r="J94" s="34"/>
      <c r="K94" s="34"/>
      <c r="L94" s="34"/>
      <c r="M94" s="34"/>
      <c r="N94" s="34"/>
      <c r="O94" s="39"/>
    </row>
    <row r="95" spans="1:15" ht="15" customHeight="1">
      <c r="A95" s="80" t="s">
        <v>56</v>
      </c>
      <c r="B95" s="65" t="s">
        <v>23</v>
      </c>
      <c r="C95" s="8"/>
      <c r="D95" s="5" t="s">
        <v>1</v>
      </c>
      <c r="H95" s="20"/>
      <c r="J95" s="6"/>
      <c r="K95" s="7"/>
      <c r="L95" s="7"/>
      <c r="M95" s="7"/>
      <c r="N95" s="7"/>
      <c r="O95" s="39"/>
    </row>
    <row r="96" spans="1:15" ht="15" customHeight="1">
      <c r="B96" s="65"/>
      <c r="C96" s="8"/>
      <c r="D96" s="5"/>
      <c r="H96" s="20"/>
      <c r="J96" s="6"/>
      <c r="K96" s="7"/>
      <c r="L96" s="7"/>
      <c r="M96" s="7"/>
      <c r="N96" s="7"/>
      <c r="O96" s="39"/>
    </row>
    <row r="97" spans="1:15" ht="15" customHeight="1">
      <c r="B97" s="30" t="s">
        <v>60</v>
      </c>
      <c r="C97" s="4"/>
      <c r="D97" s="5"/>
      <c r="H97" s="20"/>
      <c r="J97" s="6"/>
      <c r="K97" s="7"/>
      <c r="L97" s="7"/>
      <c r="M97" s="7"/>
      <c r="N97" s="7"/>
      <c r="O97" s="39"/>
    </row>
    <row r="98" spans="1:15" ht="15" customHeight="1">
      <c r="B98" s="31" t="s">
        <v>13</v>
      </c>
      <c r="C98" s="4"/>
      <c r="D98" s="5"/>
      <c r="G98" s="16"/>
      <c r="H98" s="20"/>
      <c r="J98" s="6"/>
      <c r="K98" s="7"/>
      <c r="L98" s="7"/>
      <c r="M98" s="7"/>
      <c r="N98" s="7"/>
      <c r="O98" s="39"/>
    </row>
    <row r="99" spans="1:15" ht="15" customHeight="1">
      <c r="A99" s="3" t="s">
        <v>61</v>
      </c>
      <c r="B99" s="56" t="s">
        <v>15</v>
      </c>
      <c r="C99" s="10"/>
      <c r="D99" s="12" t="s">
        <v>2</v>
      </c>
      <c r="G99" s="4"/>
      <c r="H99" s="20"/>
      <c r="J99" s="6"/>
      <c r="K99" s="7"/>
      <c r="L99" s="7"/>
      <c r="M99" s="7"/>
      <c r="N99" s="7"/>
      <c r="O99" s="39"/>
    </row>
    <row r="100" spans="1:15" ht="15" customHeight="1">
      <c r="A100" s="3" t="s">
        <v>61</v>
      </c>
      <c r="B100" s="56" t="s">
        <v>16</v>
      </c>
      <c r="C100" s="9"/>
      <c r="D100" s="12" t="s">
        <v>1</v>
      </c>
      <c r="I100" s="19"/>
      <c r="L100" s="7"/>
      <c r="M100" s="7"/>
      <c r="N100" s="7"/>
      <c r="O100" s="39"/>
    </row>
    <row r="101" spans="1:15" ht="15" customHeight="1">
      <c r="A101" s="3" t="s">
        <v>61</v>
      </c>
      <c r="B101" s="56" t="s">
        <v>7</v>
      </c>
      <c r="C101" s="10"/>
      <c r="D101" s="12" t="s">
        <v>2</v>
      </c>
      <c r="I101" s="19"/>
      <c r="L101" s="7"/>
      <c r="M101" s="7"/>
      <c r="N101" s="7"/>
      <c r="O101" s="39"/>
    </row>
    <row r="102" spans="1:15" ht="15" customHeight="1">
      <c r="A102" s="3" t="s">
        <v>61</v>
      </c>
      <c r="B102" s="56" t="s">
        <v>14</v>
      </c>
      <c r="C102" s="9"/>
      <c r="D102" s="12" t="s">
        <v>1</v>
      </c>
      <c r="F102" s="56"/>
      <c r="I102" s="19"/>
      <c r="L102" s="7"/>
      <c r="M102" s="7"/>
      <c r="N102" s="7"/>
      <c r="O102" s="39"/>
    </row>
    <row r="103" spans="1:15" ht="15" customHeight="1">
      <c r="A103" s="3" t="s">
        <v>61</v>
      </c>
      <c r="B103" s="56" t="s">
        <v>3</v>
      </c>
      <c r="C103" s="9"/>
      <c r="D103" s="5" t="s">
        <v>12</v>
      </c>
      <c r="F103" s="56"/>
      <c r="L103" s="7"/>
      <c r="M103" s="7"/>
      <c r="N103" s="7"/>
      <c r="O103" s="39"/>
    </row>
    <row r="104" spans="1:15" ht="15" customHeight="1">
      <c r="A104" s="3" t="s">
        <v>61</v>
      </c>
      <c r="B104" s="56" t="s">
        <v>4</v>
      </c>
      <c r="C104" s="9"/>
      <c r="D104" s="5" t="s">
        <v>12</v>
      </c>
      <c r="F104" s="56"/>
    </row>
    <row r="105" spans="1:15" ht="15" customHeight="1">
      <c r="A105" s="3" t="s">
        <v>61</v>
      </c>
      <c r="B105" s="56" t="s">
        <v>5</v>
      </c>
      <c r="C105" s="13"/>
      <c r="D105" s="12" t="s">
        <v>0</v>
      </c>
      <c r="F105" s="56"/>
    </row>
    <row r="106" spans="1:15" ht="15" customHeight="1">
      <c r="A106" s="3" t="s">
        <v>61</v>
      </c>
      <c r="B106" s="56" t="s">
        <v>17</v>
      </c>
      <c r="C106" s="9"/>
      <c r="D106" s="12" t="s">
        <v>18</v>
      </c>
      <c r="F106" s="56"/>
    </row>
    <row r="107" spans="1:15" ht="15" customHeight="1">
      <c r="B107" s="56"/>
      <c r="C107" s="9"/>
      <c r="F107" s="56"/>
    </row>
    <row r="108" spans="1:15" ht="15" customHeight="1">
      <c r="B108" s="63" t="s">
        <v>28</v>
      </c>
      <c r="C108" s="10"/>
      <c r="F108" s="56"/>
    </row>
    <row r="109" spans="1:15" ht="15" customHeight="1">
      <c r="A109" s="3" t="s">
        <v>62</v>
      </c>
      <c r="B109" s="56" t="s">
        <v>15</v>
      </c>
      <c r="C109" s="10"/>
      <c r="D109" s="12" t="s">
        <v>2</v>
      </c>
      <c r="F109" s="56"/>
    </row>
    <row r="110" spans="1:15" ht="15" customHeight="1">
      <c r="A110" s="3" t="s">
        <v>62</v>
      </c>
      <c r="B110" s="56" t="s">
        <v>7</v>
      </c>
      <c r="C110" s="10"/>
      <c r="D110" s="12" t="s">
        <v>2</v>
      </c>
      <c r="F110" s="56"/>
    </row>
    <row r="111" spans="1:15" ht="15" customHeight="1">
      <c r="A111" s="3" t="s">
        <v>62</v>
      </c>
      <c r="B111" s="56" t="s">
        <v>14</v>
      </c>
      <c r="C111" s="9"/>
      <c r="D111" s="12" t="s">
        <v>1</v>
      </c>
      <c r="F111" s="56"/>
    </row>
    <row r="112" spans="1:15" ht="15" customHeight="1">
      <c r="A112" s="3" t="s">
        <v>62</v>
      </c>
      <c r="B112" s="65" t="s">
        <v>3</v>
      </c>
      <c r="C112" s="9"/>
      <c r="D112" s="5" t="s">
        <v>12</v>
      </c>
      <c r="F112" s="56"/>
    </row>
    <row r="113" spans="1:6" ht="15" customHeight="1">
      <c r="A113" s="3" t="s">
        <v>62</v>
      </c>
      <c r="B113" s="65" t="s">
        <v>4</v>
      </c>
      <c r="C113" s="9"/>
      <c r="D113" s="5" t="s">
        <v>12</v>
      </c>
      <c r="F113" s="56"/>
    </row>
    <row r="114" spans="1:6" ht="15" customHeight="1">
      <c r="A114" s="3" t="s">
        <v>62</v>
      </c>
      <c r="B114" s="65" t="s">
        <v>5</v>
      </c>
      <c r="C114" s="28"/>
      <c r="D114" s="12" t="s">
        <v>0</v>
      </c>
      <c r="F114" s="4"/>
    </row>
    <row r="115" spans="1:6" ht="15" customHeight="1">
      <c r="F115" s="4"/>
    </row>
    <row r="116" spans="1:6" ht="15" customHeight="1">
      <c r="B116" s="30" t="s">
        <v>57</v>
      </c>
      <c r="C116" s="4"/>
      <c r="D116" s="5"/>
      <c r="F116" s="56"/>
    </row>
    <row r="117" spans="1:6" ht="15" customHeight="1">
      <c r="B117" s="31" t="s">
        <v>13</v>
      </c>
      <c r="C117" s="4"/>
      <c r="D117" s="5"/>
      <c r="F117" s="56"/>
    </row>
    <row r="118" spans="1:6" ht="15" customHeight="1">
      <c r="A118" s="3" t="s">
        <v>58</v>
      </c>
      <c r="B118" s="65" t="s">
        <v>15</v>
      </c>
      <c r="C118" s="10">
        <v>98.705154806304904</v>
      </c>
      <c r="D118" s="12" t="s">
        <v>2</v>
      </c>
      <c r="F118" s="56"/>
    </row>
    <row r="119" spans="1:6" ht="15" customHeight="1">
      <c r="A119" s="3" t="s">
        <v>58</v>
      </c>
      <c r="B119" s="65" t="s">
        <v>16</v>
      </c>
      <c r="C119" s="9">
        <v>8.1741822929303396</v>
      </c>
      <c r="D119" s="12" t="s">
        <v>1</v>
      </c>
      <c r="F119" s="56"/>
    </row>
    <row r="120" spans="1:6" ht="15" customHeight="1">
      <c r="A120" s="3" t="s">
        <v>58</v>
      </c>
      <c r="B120" s="56" t="s">
        <v>40</v>
      </c>
      <c r="C120" s="10">
        <v>-24.5651407665455</v>
      </c>
      <c r="D120" s="12" t="s">
        <v>2</v>
      </c>
      <c r="F120" s="56"/>
    </row>
    <row r="121" spans="1:6" ht="15" customHeight="1">
      <c r="A121" s="3" t="s">
        <v>58</v>
      </c>
      <c r="B121" s="56" t="s">
        <v>7</v>
      </c>
      <c r="C121" s="10">
        <v>206.447932111608</v>
      </c>
      <c r="D121" s="12" t="s">
        <v>2</v>
      </c>
    </row>
    <row r="122" spans="1:6" ht="15" customHeight="1">
      <c r="A122" s="3" t="s">
        <v>58</v>
      </c>
      <c r="B122" s="56" t="s">
        <v>14</v>
      </c>
      <c r="C122" s="9">
        <v>5.7768072741615E-4</v>
      </c>
      <c r="D122" s="12" t="s">
        <v>1</v>
      </c>
    </row>
    <row r="123" spans="1:6" ht="15" customHeight="1">
      <c r="A123" s="3" t="s">
        <v>58</v>
      </c>
      <c r="B123" s="65" t="s">
        <v>17</v>
      </c>
      <c r="C123" s="9">
        <v>3.0847558350937798</v>
      </c>
      <c r="D123" s="12" t="s">
        <v>18</v>
      </c>
    </row>
    <row r="124" spans="1:6" ht="15" customHeight="1">
      <c r="B124" s="65"/>
      <c r="C124" s="9"/>
    </row>
    <row r="125" spans="1:6" ht="15" customHeight="1">
      <c r="B125" s="63" t="s">
        <v>28</v>
      </c>
      <c r="C125" s="13"/>
    </row>
    <row r="126" spans="1:6" ht="15" customHeight="1">
      <c r="A126" s="3" t="s">
        <v>59</v>
      </c>
      <c r="B126" s="65" t="s">
        <v>15</v>
      </c>
      <c r="C126" s="10">
        <v>94.817874529230906</v>
      </c>
      <c r="D126" s="12" t="s">
        <v>2</v>
      </c>
    </row>
    <row r="127" spans="1:6" ht="15" customHeight="1">
      <c r="A127" s="3" t="s">
        <v>59</v>
      </c>
      <c r="B127" s="56" t="s">
        <v>40</v>
      </c>
      <c r="C127" s="10">
        <v>5.86718681758268</v>
      </c>
      <c r="D127" s="12" t="s">
        <v>2</v>
      </c>
    </row>
    <row r="128" spans="1:6" ht="15" customHeight="1">
      <c r="A128" s="3" t="s">
        <v>59</v>
      </c>
      <c r="B128" s="56" t="s">
        <v>7</v>
      </c>
      <c r="C128" s="10">
        <v>176.01560452748001</v>
      </c>
      <c r="D128" s="12" t="s">
        <v>2</v>
      </c>
    </row>
    <row r="129" spans="1:4" ht="15" customHeight="1">
      <c r="A129" s="3" t="s">
        <v>59</v>
      </c>
      <c r="B129" s="56" t="s">
        <v>14</v>
      </c>
      <c r="C129" s="9">
        <v>1.1553614548316599E-3</v>
      </c>
      <c r="D129" s="12" t="s">
        <v>1</v>
      </c>
    </row>
    <row r="130" spans="1:4" ht="15" customHeight="1">
      <c r="B130" s="65"/>
      <c r="C130" s="10"/>
    </row>
    <row r="131" spans="1:4" ht="15" customHeight="1">
      <c r="B131" s="31" t="s">
        <v>66</v>
      </c>
    </row>
    <row r="132" spans="1:4" ht="15" customHeight="1">
      <c r="A132" s="5" t="s">
        <v>66</v>
      </c>
      <c r="B132" s="5" t="s">
        <v>23</v>
      </c>
      <c r="C132" s="29">
        <v>21.558616680829601</v>
      </c>
      <c r="D132" s="12" t="s">
        <v>1</v>
      </c>
    </row>
    <row r="133" spans="1:4" ht="15" customHeight="1">
      <c r="A133" s="5" t="s">
        <v>66</v>
      </c>
      <c r="B133" s="5" t="s">
        <v>24</v>
      </c>
      <c r="C133" s="15">
        <v>2.0376979128825199</v>
      </c>
      <c r="D133" s="12" t="s">
        <v>12</v>
      </c>
    </row>
    <row r="134" spans="1:4" ht="15" customHeight="1">
      <c r="A134" s="5" t="s">
        <v>66</v>
      </c>
      <c r="B134" s="5" t="s">
        <v>4</v>
      </c>
      <c r="C134" s="15">
        <v>1.6763089022580799</v>
      </c>
      <c r="D134" s="12" t="s">
        <v>12</v>
      </c>
    </row>
    <row r="135" spans="1:4" ht="15" customHeight="1">
      <c r="A135" s="5" t="s">
        <v>66</v>
      </c>
      <c r="B135" s="5" t="s">
        <v>5</v>
      </c>
      <c r="C135" s="28">
        <v>0.61068165680141595</v>
      </c>
      <c r="D135" s="12" t="s">
        <v>0</v>
      </c>
    </row>
    <row r="136" spans="1:4" ht="15" customHeight="1">
      <c r="B136" s="56"/>
      <c r="C136" s="74"/>
      <c r="D136" s="75"/>
    </row>
    <row r="137" spans="1:4" ht="15" customHeight="1">
      <c r="B137" s="56"/>
      <c r="C137" s="76"/>
      <c r="D137" s="75"/>
    </row>
    <row r="138" spans="1:4" ht="15" customHeight="1">
      <c r="B138" s="4"/>
      <c r="C138" s="76"/>
      <c r="D138" s="75"/>
    </row>
    <row r="139" spans="1:4" ht="15" customHeight="1">
      <c r="B139" s="4"/>
      <c r="C139" s="72"/>
      <c r="D139" s="75"/>
    </row>
    <row r="140" spans="1:4" ht="15" customHeight="1">
      <c r="B140" s="56"/>
      <c r="C140" s="74"/>
      <c r="D140" s="75"/>
    </row>
    <row r="141" spans="1:4" ht="15" customHeight="1">
      <c r="B141" s="56"/>
      <c r="C141" s="74"/>
      <c r="D141" s="75"/>
    </row>
    <row r="142" spans="1:4" ht="15" customHeight="1">
      <c r="B142" s="4"/>
      <c r="C142" s="74"/>
      <c r="D142" s="75"/>
    </row>
    <row r="143" spans="1:4" ht="15" customHeight="1">
      <c r="B143" s="4"/>
      <c r="C143" s="76"/>
      <c r="D143" s="75"/>
    </row>
    <row r="144" spans="1:4" ht="15" customHeight="1">
      <c r="B144" s="73"/>
      <c r="C144" s="77"/>
      <c r="D144" s="75"/>
    </row>
    <row r="145" spans="2:4" ht="15" customHeight="1">
      <c r="B145" s="34"/>
      <c r="C145" s="34"/>
      <c r="D145" s="34"/>
    </row>
    <row r="146" spans="2:4" ht="15" customHeight="1">
      <c r="B146" s="34"/>
      <c r="C146" s="34"/>
      <c r="D146" s="34"/>
    </row>
    <row r="147" spans="2:4" ht="15" customHeight="1">
      <c r="B147" s="34"/>
      <c r="C147" s="34"/>
      <c r="D147" s="34"/>
    </row>
    <row r="148" spans="2:4" ht="15" customHeight="1">
      <c r="B148" s="34"/>
      <c r="C148" s="34"/>
      <c r="D148" s="34"/>
    </row>
    <row r="149" spans="2:4" ht="15" customHeight="1">
      <c r="B149" s="34"/>
      <c r="C149" s="34"/>
      <c r="D149" s="34"/>
    </row>
    <row r="150" spans="2:4" ht="15" customHeight="1">
      <c r="C150" s="4"/>
      <c r="D150" s="5"/>
    </row>
    <row r="151" spans="2:4" ht="15" customHeight="1">
      <c r="B151" s="11"/>
      <c r="C151" s="4"/>
      <c r="D151" s="5"/>
    </row>
    <row r="152" spans="2:4" ht="15" customHeight="1">
      <c r="C152" s="9"/>
      <c r="D152" s="5"/>
    </row>
  </sheetData>
  <phoneticPr fontId="10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4DDE8F-4DC6-4E35-8E4F-65F342CBACAD}">
  <sheetPr codeName="Sheet4"/>
  <dimension ref="A1:AA87"/>
  <sheetViews>
    <sheetView zoomScaleNormal="100" workbookViewId="0">
      <pane ySplit="4" topLeftCell="A5" activePane="bottomLeft" state="frozen"/>
      <selection pane="bottomLeft" activeCell="H29" sqref="H29"/>
    </sheetView>
  </sheetViews>
  <sheetFormatPr defaultColWidth="9.140625" defaultRowHeight="15" customHeight="1"/>
  <cols>
    <col min="1" max="1" width="24.7109375" style="84" customWidth="1"/>
    <col min="2" max="3" width="24.7109375" style="22" customWidth="1"/>
    <col min="4" max="6" width="9.140625" style="1"/>
    <col min="7" max="7" width="9.140625" style="51"/>
    <col min="8" max="9" width="9.140625" style="15"/>
    <col min="10" max="10" width="9.140625" style="51"/>
    <col min="11" max="12" width="9.140625" style="15"/>
    <col min="13" max="13" width="9.140625" style="51"/>
    <col min="14" max="15" width="9.140625" style="15"/>
    <col min="16" max="16" width="9.140625" style="51"/>
    <col min="17" max="18" width="9.140625" style="15"/>
    <col min="19" max="19" width="9.140625" style="51"/>
    <col min="20" max="21" width="9.140625" style="15"/>
    <col min="22" max="22" width="9.140625" style="51"/>
    <col min="23" max="24" width="9.140625" style="15"/>
    <col min="25" max="25" width="9.140625" style="51"/>
    <col min="26" max="27" width="9.140625" style="15"/>
    <col min="28" max="16384" width="9.140625" style="38"/>
  </cols>
  <sheetData>
    <row r="1" spans="1:27" s="48" customFormat="1" ht="15" customHeight="1">
      <c r="A1" s="23" t="s">
        <v>54</v>
      </c>
      <c r="B1" s="22"/>
      <c r="C1" s="22"/>
      <c r="G1" s="40"/>
      <c r="H1" s="41"/>
      <c r="I1" s="41"/>
      <c r="J1" s="40"/>
      <c r="K1" s="41"/>
      <c r="L1" s="41"/>
      <c r="M1" s="40"/>
      <c r="N1" s="41"/>
      <c r="O1" s="41"/>
      <c r="P1" s="40"/>
      <c r="Q1" s="41"/>
      <c r="R1" s="41"/>
      <c r="S1" s="40"/>
      <c r="T1" s="41"/>
      <c r="U1" s="41"/>
      <c r="V1" s="49"/>
      <c r="W1" s="41"/>
      <c r="X1" s="41"/>
      <c r="Y1" s="49"/>
      <c r="Z1" s="41"/>
      <c r="AA1" s="41"/>
    </row>
    <row r="2" spans="1:27" s="48" customFormat="1" ht="15" customHeight="1">
      <c r="A2" s="22"/>
      <c r="B2" s="22"/>
      <c r="C2" s="22"/>
      <c r="G2" s="40"/>
      <c r="H2" s="42"/>
      <c r="I2" s="42"/>
      <c r="J2" s="40"/>
      <c r="K2" s="42"/>
      <c r="L2" s="42"/>
      <c r="M2" s="40"/>
      <c r="N2" s="43"/>
      <c r="O2" s="43"/>
      <c r="P2" s="43"/>
      <c r="Q2" s="42"/>
      <c r="R2" s="42"/>
      <c r="S2" s="49"/>
      <c r="T2" s="42"/>
      <c r="U2" s="42"/>
      <c r="V2" s="49"/>
      <c r="W2" s="42"/>
      <c r="X2" s="42"/>
      <c r="Y2" s="49"/>
      <c r="Z2" s="42"/>
      <c r="AA2" s="42"/>
    </row>
    <row r="3" spans="1:27" s="50" customFormat="1" ht="15" customHeight="1">
      <c r="A3" s="24" t="s">
        <v>75</v>
      </c>
      <c r="B3" s="24" t="s">
        <v>76</v>
      </c>
      <c r="C3" s="24" t="s">
        <v>77</v>
      </c>
      <c r="G3" s="44"/>
      <c r="H3" s="45"/>
      <c r="I3" s="45"/>
      <c r="J3" s="44"/>
      <c r="K3" s="45"/>
      <c r="L3" s="15"/>
      <c r="M3" s="51"/>
      <c r="N3" s="15"/>
      <c r="O3" s="15"/>
      <c r="P3" s="51"/>
      <c r="Q3" s="15"/>
      <c r="R3" s="45"/>
      <c r="S3" s="52"/>
      <c r="T3" s="45"/>
      <c r="U3" s="45"/>
      <c r="V3" s="52"/>
      <c r="W3" s="45"/>
      <c r="X3" s="45"/>
      <c r="Y3" s="52"/>
      <c r="Z3" s="45"/>
      <c r="AA3" s="45"/>
    </row>
    <row r="4" spans="1:27" s="53" customFormat="1" ht="15" customHeight="1">
      <c r="A4" s="22" t="s">
        <v>25</v>
      </c>
      <c r="B4" s="22" t="s">
        <v>1</v>
      </c>
      <c r="C4" s="22" t="s">
        <v>2</v>
      </c>
      <c r="G4" s="46"/>
      <c r="H4" s="47"/>
      <c r="I4" s="47"/>
      <c r="J4" s="46"/>
      <c r="K4" s="47"/>
      <c r="L4" s="15"/>
      <c r="M4" s="51"/>
      <c r="N4" s="15"/>
      <c r="O4" s="15"/>
      <c r="P4" s="51"/>
      <c r="Q4" s="15"/>
      <c r="R4" s="47"/>
      <c r="S4" s="54"/>
      <c r="T4" s="47"/>
      <c r="U4" s="47"/>
      <c r="V4" s="54"/>
      <c r="W4" s="47"/>
      <c r="X4" s="47"/>
      <c r="Y4" s="54"/>
      <c r="Z4" s="47"/>
      <c r="AA4" s="47"/>
    </row>
    <row r="5" spans="1:27" ht="14.25">
      <c r="A5" s="84">
        <v>0</v>
      </c>
      <c r="B5" s="22">
        <v>0</v>
      </c>
      <c r="C5" s="22">
        <v>1.4223483194139785</v>
      </c>
    </row>
    <row r="6" spans="1:27" ht="15" customHeight="1">
      <c r="A6" s="84">
        <v>0.40824829046386302</v>
      </c>
      <c r="B6" s="22">
        <v>9.1509913573960423E-3</v>
      </c>
      <c r="C6" s="22">
        <v>1.7779353992674731</v>
      </c>
    </row>
    <row r="7" spans="1:27" ht="15" customHeight="1">
      <c r="A7" s="84">
        <v>0.81649658092772603</v>
      </c>
      <c r="B7" s="22">
        <v>9.3543467208947489E-2</v>
      </c>
      <c r="C7" s="22">
        <v>3.5558707985349463</v>
      </c>
    </row>
    <row r="8" spans="1:27" ht="15" customHeight="1">
      <c r="A8" s="84">
        <v>1.2247448713915889</v>
      </c>
      <c r="B8" s="22">
        <v>0.38637519064565246</v>
      </c>
      <c r="C8" s="22">
        <v>6.4301996940173609</v>
      </c>
    </row>
    <row r="9" spans="1:27" ht="15" customHeight="1">
      <c r="A9" s="84">
        <v>1.6329931618554521</v>
      </c>
      <c r="B9" s="22">
        <v>1.2175902389425513</v>
      </c>
      <c r="C9" s="22">
        <v>10.578715625641467</v>
      </c>
    </row>
    <row r="10" spans="1:27" ht="15" customHeight="1">
      <c r="A10" s="84">
        <v>2.0412414523193152</v>
      </c>
      <c r="B10" s="22">
        <v>2.4463650228774774</v>
      </c>
      <c r="C10" s="22">
        <v>16.119947620025091</v>
      </c>
    </row>
    <row r="11" spans="1:27" ht="15" customHeight="1">
      <c r="A11" s="84">
        <v>2.4494897427831779</v>
      </c>
      <c r="B11" s="22">
        <v>3.7117437722419919</v>
      </c>
      <c r="C11" s="22">
        <v>22.787205367278112</v>
      </c>
    </row>
    <row r="12" spans="1:27" ht="15" customHeight="1">
      <c r="A12" s="84">
        <v>2.857738033247041</v>
      </c>
      <c r="B12" s="22">
        <v>4.7737671581087948</v>
      </c>
      <c r="C12" s="22">
        <v>30.876811433945118</v>
      </c>
    </row>
    <row r="13" spans="1:27" ht="15" customHeight="1">
      <c r="A13" s="84">
        <v>3.2659863237109041</v>
      </c>
      <c r="B13" s="22">
        <v>5.5536349771225213</v>
      </c>
      <c r="C13" s="22">
        <v>40.033178740172602</v>
      </c>
    </row>
    <row r="14" spans="1:27" ht="15" customHeight="1">
      <c r="A14" s="84">
        <v>3.6742346141747673</v>
      </c>
      <c r="B14" s="22">
        <v>6.1453990849008635</v>
      </c>
      <c r="C14" s="22">
        <v>50.43410082588732</v>
      </c>
    </row>
    <row r="15" spans="1:27" ht="15" customHeight="1">
      <c r="A15" s="84">
        <v>4.0824829046386304</v>
      </c>
      <c r="B15" s="22">
        <v>6.6324351804778834</v>
      </c>
      <c r="C15" s="22">
        <v>62.049945434434811</v>
      </c>
    </row>
    <row r="16" spans="1:27" ht="15" customHeight="1">
      <c r="A16" s="84">
        <v>4.4907311951024935</v>
      </c>
      <c r="B16" s="22">
        <v>7.0594814438230795</v>
      </c>
      <c r="C16" s="22">
        <v>74.82144805250617</v>
      </c>
    </row>
    <row r="17" spans="1:3" ht="15" customHeight="1">
      <c r="A17" s="84">
        <v>4.8989794855663558</v>
      </c>
      <c r="B17" s="22">
        <v>7.450940518556175</v>
      </c>
      <c r="C17" s="22">
        <v>88.837505450064754</v>
      </c>
    </row>
    <row r="18" spans="1:3" ht="15" customHeight="1">
      <c r="A18" s="84">
        <v>5.3072277760302189</v>
      </c>
      <c r="B18" s="22">
        <v>7.8129130655821042</v>
      </c>
      <c r="C18" s="22">
        <v>104.15738214041946</v>
      </c>
    </row>
    <row r="19" spans="1:3" ht="15" customHeight="1">
      <c r="A19" s="84">
        <v>5.715476066494082</v>
      </c>
      <c r="B19" s="22">
        <v>8.1621759023894249</v>
      </c>
      <c r="C19" s="22">
        <v>120.48475555702578</v>
      </c>
    </row>
    <row r="20" spans="1:3" ht="15" customHeight="1">
      <c r="A20" s="84">
        <v>6.1237243569579451</v>
      </c>
      <c r="B20" s="22">
        <v>8.4839857651245527</v>
      </c>
      <c r="C20" s="22">
        <v>138.26410954970049</v>
      </c>
    </row>
    <row r="21" spans="1:3" ht="15" customHeight="1">
      <c r="A21" s="84">
        <v>6.5319726474218083</v>
      </c>
      <c r="B21" s="22">
        <v>8.78749364514489</v>
      </c>
      <c r="C21" s="22">
        <v>157.1694892952446</v>
      </c>
    </row>
    <row r="22" spans="1:3" ht="15" customHeight="1">
      <c r="A22" s="84">
        <v>6.9402209378856714</v>
      </c>
      <c r="B22" s="22">
        <v>9.0752414844941516</v>
      </c>
      <c r="C22" s="22">
        <v>177.26015930696704</v>
      </c>
    </row>
    <row r="23" spans="1:3" ht="15" customHeight="1">
      <c r="A23" s="84">
        <v>7.3484692283495345</v>
      </c>
      <c r="B23" s="22">
        <v>9.3558718861209957</v>
      </c>
      <c r="C23" s="22">
        <v>198.62501635483119</v>
      </c>
    </row>
    <row r="24" spans="1:3" ht="15" customHeight="1">
      <c r="A24" s="84">
        <v>7.7567175188133968</v>
      </c>
      <c r="B24" s="22">
        <v>9.6359938993390948</v>
      </c>
      <c r="C24" s="22">
        <v>221.05663464225583</v>
      </c>
    </row>
    <row r="25" spans="1:3" ht="15" customHeight="1">
      <c r="A25" s="84">
        <v>8.1649658092772608</v>
      </c>
      <c r="B25" s="22">
        <v>9.9135739705134718</v>
      </c>
      <c r="C25" s="22">
        <v>244.85133673578551</v>
      </c>
    </row>
    <row r="26" spans="1:3" ht="15" customHeight="1">
      <c r="A26" s="84">
        <v>8.5732140997411239</v>
      </c>
      <c r="B26" s="22">
        <v>10.196237925775291</v>
      </c>
      <c r="C26" s="22">
        <v>269.83132909549346</v>
      </c>
    </row>
    <row r="27" spans="1:3" ht="15" customHeight="1">
      <c r="A27" s="84">
        <v>8.981462390204987</v>
      </c>
      <c r="B27" s="22">
        <v>10.472292831723436</v>
      </c>
      <c r="C27" s="22">
        <v>296.08550849134321</v>
      </c>
    </row>
    <row r="28" spans="1:3" ht="15" customHeight="1">
      <c r="A28" s="84">
        <v>9.3897106806688502</v>
      </c>
      <c r="B28" s="22">
        <v>10.745805795627856</v>
      </c>
      <c r="C28" s="22">
        <v>323.49534589671669</v>
      </c>
    </row>
    <row r="29" spans="1:3" ht="15" customHeight="1">
      <c r="A29" s="84">
        <v>9.7979589711327115</v>
      </c>
      <c r="B29" s="22">
        <v>11.024402643619723</v>
      </c>
      <c r="C29" s="22">
        <v>352.09047356826858</v>
      </c>
    </row>
    <row r="30" spans="1:3" ht="15" customHeight="1">
      <c r="A30" s="84">
        <v>10.206207261596576</v>
      </c>
      <c r="B30" s="22">
        <v>11.308591764107778</v>
      </c>
      <c r="C30" s="22">
        <v>381.98942053261658</v>
      </c>
    </row>
    <row r="31" spans="1:3" ht="15" customHeight="1">
      <c r="A31" s="84">
        <v>10.614455552060438</v>
      </c>
      <c r="B31" s="22">
        <v>11.596847991865785</v>
      </c>
      <c r="C31" s="22">
        <v>413.07365776314293</v>
      </c>
    </row>
    <row r="32" spans="1:3" ht="15" customHeight="1">
      <c r="A32" s="84">
        <v>11.022703842524301</v>
      </c>
      <c r="B32" s="22">
        <v>11.879003558718859</v>
      </c>
      <c r="C32" s="22">
        <v>439.97974680539068</v>
      </c>
    </row>
    <row r="33" spans="1:3" ht="15" customHeight="1">
      <c r="A33" s="84">
        <v>11.430952132988164</v>
      </c>
      <c r="B33" s="22">
        <v>11.998474834773766</v>
      </c>
      <c r="C33" s="22">
        <v>439.89085003542732</v>
      </c>
    </row>
    <row r="34" spans="1:3" ht="15" customHeight="1">
      <c r="A34" s="84">
        <v>11.839200423452027</v>
      </c>
      <c r="B34" s="22">
        <v>12.059989832231825</v>
      </c>
      <c r="C34" s="22">
        <v>440.00937906204518</v>
      </c>
    </row>
    <row r="35" spans="1:3" ht="15" customHeight="1">
      <c r="A35" s="84">
        <v>12.24744871391589</v>
      </c>
      <c r="B35" s="22">
        <v>12.101677681748853</v>
      </c>
      <c r="C35" s="22">
        <v>439.92048229208177</v>
      </c>
    </row>
    <row r="36" spans="1:3" ht="15" customHeight="1">
      <c r="A36" s="84">
        <v>12.655697004379753</v>
      </c>
      <c r="B36" s="22">
        <v>12.135231316725978</v>
      </c>
      <c r="C36" s="22">
        <v>439.92048229208177</v>
      </c>
    </row>
    <row r="37" spans="1:3" ht="15" customHeight="1">
      <c r="A37" s="84">
        <v>13.063945294843617</v>
      </c>
      <c r="B37" s="22">
        <v>12.160650737163191</v>
      </c>
      <c r="C37" s="22">
        <v>439.89085003542732</v>
      </c>
    </row>
    <row r="38" spans="1:3" ht="15" customHeight="1">
      <c r="A38" s="84">
        <v>13.47219358530748</v>
      </c>
      <c r="B38" s="22">
        <v>12.183528215556683</v>
      </c>
      <c r="C38" s="22">
        <v>440.00937906204518</v>
      </c>
    </row>
    <row r="39" spans="1:3" ht="15" customHeight="1">
      <c r="A39" s="84">
        <v>13.880441875771343</v>
      </c>
      <c r="B39" s="22">
        <v>12.202338586680222</v>
      </c>
      <c r="C39" s="22">
        <v>440.03901131869958</v>
      </c>
    </row>
    <row r="40" spans="1:3" ht="15" customHeight="1">
      <c r="A40" s="84">
        <v>14.288690166235206</v>
      </c>
      <c r="B40" s="22">
        <v>12.219623792577528</v>
      </c>
      <c r="C40" s="22">
        <v>439.97974680539068</v>
      </c>
    </row>
    <row r="41" spans="1:3" ht="15" customHeight="1">
      <c r="A41" s="84">
        <v>14.696938456699069</v>
      </c>
      <c r="B41" s="22">
        <v>12.235892221657345</v>
      </c>
      <c r="C41" s="22">
        <v>440.00937906204518</v>
      </c>
    </row>
    <row r="42" spans="1:3" ht="15" customHeight="1">
      <c r="A42" s="84">
        <v>15.10518674716293</v>
      </c>
      <c r="B42" s="22">
        <v>12.250635485510928</v>
      </c>
      <c r="C42" s="22">
        <v>439.95011454873617</v>
      </c>
    </row>
    <row r="43" spans="1:3" ht="15" customHeight="1">
      <c r="A43" s="84">
        <v>15.513435037626794</v>
      </c>
      <c r="B43" s="22">
        <v>12.26283680732079</v>
      </c>
      <c r="C43" s="22">
        <v>439.95011454873617</v>
      </c>
    </row>
    <row r="44" spans="1:3" ht="15" customHeight="1">
      <c r="A44" s="84">
        <v>15.921683328090658</v>
      </c>
      <c r="B44" s="22">
        <v>12.275038129130653</v>
      </c>
      <c r="C44" s="22">
        <v>439.95011454873617</v>
      </c>
    </row>
    <row r="45" spans="1:3" ht="15" customHeight="1">
      <c r="A45" s="84">
        <v>16.329931618554522</v>
      </c>
      <c r="B45" s="22">
        <v>12.287747839349262</v>
      </c>
      <c r="C45" s="22">
        <v>440.00937906204518</v>
      </c>
    </row>
    <row r="46" spans="1:3" ht="15" customHeight="1">
      <c r="A46" s="84">
        <v>16.738179909018385</v>
      </c>
      <c r="B46" s="22">
        <v>12.29689883070666</v>
      </c>
      <c r="C46" s="22">
        <v>439.89085003542732</v>
      </c>
    </row>
    <row r="47" spans="1:3" ht="15" customHeight="1">
      <c r="A47" s="84">
        <v>17.146428199482248</v>
      </c>
      <c r="B47" s="22">
        <v>12.307066598881544</v>
      </c>
      <c r="C47" s="22">
        <v>439.97974680539068</v>
      </c>
    </row>
    <row r="48" spans="1:3" ht="15" customHeight="1">
      <c r="A48" s="84">
        <v>17.554676489946111</v>
      </c>
      <c r="B48" s="22">
        <v>12.316217590238942</v>
      </c>
      <c r="C48" s="22">
        <v>440.06864357535409</v>
      </c>
    </row>
    <row r="49" spans="1:3" ht="15" customHeight="1">
      <c r="A49" s="84">
        <v>17.962924780409974</v>
      </c>
      <c r="B49" s="22">
        <v>12.325368581596338</v>
      </c>
      <c r="C49" s="22">
        <v>439.92048229208177</v>
      </c>
    </row>
    <row r="50" spans="1:3" ht="15" customHeight="1">
      <c r="A50" s="84">
        <v>18.371173070873837</v>
      </c>
      <c r="B50" s="22">
        <v>12.334011184544991</v>
      </c>
      <c r="C50" s="22">
        <v>439.95011454873617</v>
      </c>
    </row>
    <row r="51" spans="1:3" ht="15" customHeight="1">
      <c r="A51" s="84">
        <v>18.7794213613377</v>
      </c>
      <c r="B51" s="22">
        <v>12.341637010676155</v>
      </c>
      <c r="C51" s="22">
        <v>439.95011454873617</v>
      </c>
    </row>
    <row r="52" spans="1:3" ht="15" customHeight="1">
      <c r="A52" s="84">
        <v>19.187669651801563</v>
      </c>
      <c r="B52" s="22">
        <v>12.350788002033552</v>
      </c>
      <c r="C52" s="22">
        <v>440.00937906204518</v>
      </c>
    </row>
    <row r="53" spans="1:3" ht="15" customHeight="1">
      <c r="A53" s="84">
        <v>19.595917942265423</v>
      </c>
      <c r="B53" s="22">
        <v>12.358413828164716</v>
      </c>
      <c r="C53" s="22">
        <v>439.97974680539068</v>
      </c>
    </row>
    <row r="54" spans="1:3" ht="15" customHeight="1">
      <c r="A54" s="84">
        <v>20.00416623272929</v>
      </c>
      <c r="B54" s="22">
        <v>12.366548042704625</v>
      </c>
      <c r="C54" s="22">
        <v>439.97974680539068</v>
      </c>
    </row>
    <row r="55" spans="1:3" ht="15" customHeight="1">
      <c r="A55" s="84">
        <v>20.412414523193153</v>
      </c>
      <c r="B55" s="22">
        <v>12.373665480427045</v>
      </c>
      <c r="C55" s="22">
        <v>439.92048229208177</v>
      </c>
    </row>
    <row r="56" spans="1:3" ht="15" customHeight="1">
      <c r="A56" s="84">
        <v>20.820662813657012</v>
      </c>
      <c r="B56" s="22">
        <v>12.380782918149464</v>
      </c>
      <c r="C56" s="22">
        <v>439.83158552211836</v>
      </c>
    </row>
    <row r="57" spans="1:3" ht="15" customHeight="1">
      <c r="A57" s="84">
        <v>21.228911104120876</v>
      </c>
      <c r="B57" s="22">
        <v>12.386883579054395</v>
      </c>
      <c r="C57" s="22">
        <v>440.06864357535409</v>
      </c>
    </row>
    <row r="58" spans="1:3" ht="15" customHeight="1">
      <c r="A58" s="84">
        <v>21.637159394584739</v>
      </c>
      <c r="B58" s="22">
        <v>12.394001016776816</v>
      </c>
      <c r="C58" s="22">
        <v>440.00937906204518</v>
      </c>
    </row>
    <row r="59" spans="1:3" ht="15" customHeight="1">
      <c r="A59" s="84">
        <v>22.045407685048602</v>
      </c>
      <c r="B59" s="22">
        <v>12.400101677681747</v>
      </c>
      <c r="C59" s="22">
        <v>440.00937906204518</v>
      </c>
    </row>
    <row r="60" spans="1:3" ht="15" customHeight="1">
      <c r="A60" s="84">
        <v>22.453655975512465</v>
      </c>
      <c r="B60" s="22">
        <v>12.405185561769191</v>
      </c>
      <c r="C60" s="22">
        <v>440.03901131869958</v>
      </c>
    </row>
    <row r="61" spans="1:3" ht="15" customHeight="1">
      <c r="A61" s="84">
        <v>22.861904265976328</v>
      </c>
      <c r="B61" s="22">
        <v>12.412811387900353</v>
      </c>
      <c r="C61" s="22">
        <v>439.97974680539068</v>
      </c>
    </row>
    <row r="62" spans="1:3" ht="15" customHeight="1">
      <c r="A62" s="84">
        <v>23.270152556440191</v>
      </c>
      <c r="B62" s="22">
        <v>12.417386883579052</v>
      </c>
      <c r="C62" s="22">
        <v>440.21680485862635</v>
      </c>
    </row>
    <row r="63" spans="1:3" ht="15" customHeight="1">
      <c r="A63" s="84">
        <v>23.678400846904054</v>
      </c>
      <c r="B63" s="22">
        <v>12.421453990849006</v>
      </c>
      <c r="C63" s="22">
        <v>440.06864357535409</v>
      </c>
    </row>
    <row r="64" spans="1:3" ht="15" customHeight="1">
      <c r="A64" s="84">
        <v>24.086649137367917</v>
      </c>
      <c r="B64" s="22">
        <v>12.428571428571427</v>
      </c>
      <c r="C64" s="22">
        <v>440.12790808866299</v>
      </c>
    </row>
    <row r="65" spans="1:3" ht="15" customHeight="1">
      <c r="A65" s="84">
        <v>24.494897427831781</v>
      </c>
      <c r="B65" s="22">
        <v>12.432638535841383</v>
      </c>
      <c r="C65" s="22">
        <v>439.95011454873617</v>
      </c>
    </row>
    <row r="66" spans="1:3" ht="15" customHeight="1">
      <c r="A66" s="84">
        <v>24.903145718295644</v>
      </c>
      <c r="B66" s="22">
        <v>12.438230808337568</v>
      </c>
      <c r="C66" s="22">
        <v>439.95011454873617</v>
      </c>
    </row>
    <row r="67" spans="1:3" ht="15" customHeight="1">
      <c r="A67" s="84">
        <v>25.311394008759507</v>
      </c>
      <c r="B67" s="22">
        <v>12.442297915607522</v>
      </c>
      <c r="C67" s="22">
        <v>440.00937906204518</v>
      </c>
    </row>
    <row r="68" spans="1:3" ht="15" customHeight="1">
      <c r="A68" s="84">
        <v>25.71964229922337</v>
      </c>
      <c r="B68" s="22">
        <v>12.447381799694964</v>
      </c>
      <c r="C68" s="22">
        <v>440.15754034531744</v>
      </c>
    </row>
    <row r="69" spans="1:3" ht="15" customHeight="1">
      <c r="A69" s="84">
        <v>26.127890589687233</v>
      </c>
      <c r="B69" s="22">
        <v>12.452974072191154</v>
      </c>
      <c r="C69" s="22">
        <v>440.03901131869958</v>
      </c>
    </row>
    <row r="70" spans="1:3" ht="15" customHeight="1">
      <c r="A70" s="84">
        <v>26.536138880151096</v>
      </c>
      <c r="B70" s="22">
        <v>12.457041179461106</v>
      </c>
      <c r="C70" s="22">
        <v>440.03901131869958</v>
      </c>
    </row>
    <row r="71" spans="1:3" ht="15" customHeight="1">
      <c r="A71" s="84">
        <v>26.944387170614959</v>
      </c>
      <c r="B71" s="22">
        <v>12.461616675139805</v>
      </c>
      <c r="C71" s="22">
        <v>440.03901131869958</v>
      </c>
    </row>
    <row r="72" spans="1:3" ht="15" customHeight="1">
      <c r="A72" s="84">
        <v>27.352635461078822</v>
      </c>
      <c r="B72" s="22">
        <v>12.465175394001013</v>
      </c>
      <c r="C72" s="22">
        <v>439.97974680539068</v>
      </c>
    </row>
    <row r="73" spans="1:3" ht="15" customHeight="1">
      <c r="A73" s="84">
        <v>27.760883751542686</v>
      </c>
      <c r="B73" s="22">
        <v>12.470259278088456</v>
      </c>
      <c r="C73" s="22">
        <v>440.00937906204518</v>
      </c>
    </row>
    <row r="74" spans="1:3" ht="15" customHeight="1">
      <c r="A74" s="84">
        <v>28.169132042006549</v>
      </c>
      <c r="B74" s="22">
        <v>12.474326385358413</v>
      </c>
      <c r="C74" s="22">
        <v>440.00937906204518</v>
      </c>
    </row>
    <row r="75" spans="1:3" ht="15" customHeight="1">
      <c r="A75" s="84">
        <v>28.577380332470412</v>
      </c>
      <c r="B75" s="22">
        <v>12.478393492628365</v>
      </c>
      <c r="C75" s="22">
        <v>440.00937906204518</v>
      </c>
    </row>
    <row r="76" spans="1:3" ht="15" customHeight="1">
      <c r="A76" s="84">
        <v>28.985628622934275</v>
      </c>
      <c r="B76" s="22">
        <v>12.481952211489578</v>
      </c>
      <c r="C76" s="22">
        <v>439.97974680539068</v>
      </c>
    </row>
    <row r="77" spans="1:3" ht="15" customHeight="1">
      <c r="A77" s="84">
        <v>29.393876913398138</v>
      </c>
      <c r="B77" s="22">
        <v>12.486527707168275</v>
      </c>
      <c r="C77" s="22">
        <v>439.95011454873617</v>
      </c>
    </row>
    <row r="78" spans="1:3" ht="15" customHeight="1">
      <c r="A78" s="84">
        <v>29.802125203862001</v>
      </c>
      <c r="B78" s="22">
        <v>12.490086426029483</v>
      </c>
      <c r="C78" s="22">
        <v>439.95011454873617</v>
      </c>
    </row>
    <row r="79" spans="1:3" ht="15" customHeight="1">
      <c r="A79" s="84">
        <v>30.210373494325861</v>
      </c>
      <c r="B79" s="22">
        <v>12.494153533299439</v>
      </c>
      <c r="C79" s="22">
        <v>440.00937906204518</v>
      </c>
    </row>
    <row r="80" spans="1:3" ht="15" customHeight="1">
      <c r="A80" s="84">
        <v>30.618621784789728</v>
      </c>
      <c r="B80" s="22">
        <v>12.497203863751905</v>
      </c>
      <c r="C80" s="22">
        <v>439.95011454873617</v>
      </c>
    </row>
    <row r="81" spans="1:3" ht="15" customHeight="1">
      <c r="A81" s="84">
        <v>31.026870075253587</v>
      </c>
      <c r="B81" s="22">
        <v>12.501779359430603</v>
      </c>
      <c r="C81" s="22">
        <v>440.09827583200848</v>
      </c>
    </row>
    <row r="82" spans="1:3" ht="15" customHeight="1">
      <c r="A82" s="84">
        <v>31.43511836571745</v>
      </c>
      <c r="B82" s="22">
        <v>12.505846466700557</v>
      </c>
      <c r="C82" s="22">
        <v>439.97974680539068</v>
      </c>
    </row>
    <row r="83" spans="1:3" ht="15" customHeight="1">
      <c r="A83" s="84">
        <v>31.843366656181317</v>
      </c>
      <c r="B83" s="22">
        <v>12.509913573970513</v>
      </c>
      <c r="C83" s="22">
        <v>439.97974680539068</v>
      </c>
    </row>
    <row r="84" spans="1:3" ht="15" customHeight="1">
      <c r="A84" s="84">
        <v>32.251614946645176</v>
      </c>
      <c r="B84" s="22">
        <v>12.513980681240467</v>
      </c>
      <c r="C84" s="22">
        <v>439.97974680539068</v>
      </c>
    </row>
    <row r="85" spans="1:3" ht="15" customHeight="1">
      <c r="A85" s="84">
        <v>32.659863237109043</v>
      </c>
      <c r="B85" s="22">
        <v>12.519572953736654</v>
      </c>
      <c r="C85" s="22">
        <v>439.95011454873617</v>
      </c>
    </row>
    <row r="86" spans="1:3" ht="15" customHeight="1">
      <c r="A86" s="84">
        <v>33.068111527572903</v>
      </c>
      <c r="B86" s="22">
        <v>12.523131672597861</v>
      </c>
      <c r="C86" s="22">
        <v>440.03901131869958</v>
      </c>
    </row>
    <row r="87" spans="1:3" ht="15" customHeight="1">
      <c r="A87" s="84">
        <v>33.126776681912979</v>
      </c>
      <c r="B87" s="22">
        <v>12.524148449415351</v>
      </c>
      <c r="C87" s="22">
        <v>439.97974680539068</v>
      </c>
    </row>
  </sheetData>
  <sortState xmlns:xlrd2="http://schemas.microsoft.com/office/spreadsheetml/2017/richdata2" ref="A4:C4">
    <sortCondition ref="A3"/>
  </sortState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2FD586-46F5-4F09-9FC6-1A1DD0133B41}">
  <dimension ref="A1:AA138"/>
  <sheetViews>
    <sheetView zoomScaleNormal="100" workbookViewId="0">
      <pane ySplit="4" topLeftCell="A5" activePane="bottomLeft" state="frozen"/>
      <selection pane="bottomLeft" activeCell="F8" sqref="F8"/>
    </sheetView>
  </sheetViews>
  <sheetFormatPr defaultColWidth="9.140625" defaultRowHeight="15" customHeight="1"/>
  <cols>
    <col min="1" max="1" width="24.7109375" style="84" customWidth="1"/>
    <col min="2" max="3" width="24.7109375" style="22" customWidth="1"/>
    <col min="4" max="5" width="9.140625" style="22"/>
    <col min="6" max="6" width="9.140625" style="1"/>
    <col min="7" max="7" width="9.140625" style="51"/>
    <col min="8" max="9" width="9.140625" style="15"/>
    <col min="10" max="10" width="9.140625" style="51"/>
    <col min="11" max="12" width="9.140625" style="15"/>
    <col min="13" max="13" width="9.140625" style="51"/>
    <col min="14" max="15" width="9.140625" style="15"/>
    <col min="16" max="16" width="9.140625" style="51"/>
    <col min="17" max="18" width="9.140625" style="15"/>
    <col min="19" max="19" width="9.140625" style="51"/>
    <col min="20" max="21" width="9.140625" style="15"/>
    <col min="22" max="22" width="9.140625" style="51"/>
    <col min="23" max="24" width="9.140625" style="15"/>
    <col min="25" max="25" width="9.140625" style="51"/>
    <col min="26" max="27" width="9.140625" style="15"/>
    <col min="28" max="16384" width="9.140625" style="38"/>
  </cols>
  <sheetData>
    <row r="1" spans="1:27" s="48" customFormat="1" ht="15" customHeight="1">
      <c r="A1" s="23" t="s">
        <v>55</v>
      </c>
      <c r="B1" s="22"/>
      <c r="C1" s="22"/>
      <c r="G1" s="40"/>
      <c r="H1" s="41"/>
      <c r="I1" s="41"/>
      <c r="J1" s="40"/>
      <c r="K1" s="41"/>
      <c r="L1" s="41"/>
      <c r="M1" s="40"/>
      <c r="N1" s="41"/>
      <c r="O1" s="41"/>
      <c r="P1" s="40"/>
      <c r="Q1" s="41"/>
      <c r="R1" s="41"/>
      <c r="S1" s="40"/>
      <c r="T1" s="41"/>
      <c r="U1" s="41"/>
      <c r="V1" s="49"/>
      <c r="W1" s="41"/>
      <c r="X1" s="41"/>
      <c r="Y1" s="49"/>
      <c r="Z1" s="41"/>
      <c r="AA1" s="41"/>
    </row>
    <row r="2" spans="1:27" s="48" customFormat="1" ht="14.25">
      <c r="A2" s="22"/>
      <c r="B2" s="22"/>
      <c r="C2" s="22"/>
      <c r="G2" s="40"/>
      <c r="H2" s="42"/>
      <c r="I2" s="42"/>
      <c r="J2" s="40"/>
      <c r="K2" s="42"/>
      <c r="L2" s="42"/>
      <c r="M2" s="40"/>
      <c r="N2" s="43"/>
      <c r="O2" s="43"/>
      <c r="P2" s="43"/>
      <c r="Q2" s="42"/>
      <c r="R2" s="42"/>
      <c r="S2" s="49"/>
      <c r="T2" s="42"/>
      <c r="U2" s="42"/>
      <c r="V2" s="49"/>
      <c r="W2" s="42"/>
      <c r="X2" s="42"/>
      <c r="Y2" s="49"/>
      <c r="Z2" s="42"/>
      <c r="AA2" s="42"/>
    </row>
    <row r="3" spans="1:27" s="50" customFormat="1" ht="15" customHeight="1">
      <c r="A3" s="24" t="s">
        <v>75</v>
      </c>
      <c r="B3" s="24" t="s">
        <v>76</v>
      </c>
      <c r="C3" s="24" t="s">
        <v>77</v>
      </c>
      <c r="G3" s="44"/>
      <c r="H3" s="45"/>
      <c r="I3" s="45"/>
      <c r="J3" s="44"/>
      <c r="K3" s="45"/>
      <c r="L3" s="15"/>
      <c r="M3" s="51"/>
      <c r="N3" s="15"/>
      <c r="O3" s="15"/>
      <c r="P3" s="51"/>
      <c r="Q3" s="15"/>
      <c r="R3" s="45"/>
      <c r="S3" s="52"/>
      <c r="T3" s="45"/>
      <c r="U3" s="45"/>
      <c r="V3" s="52"/>
      <c r="W3" s="45"/>
      <c r="X3" s="45"/>
      <c r="Y3" s="52"/>
      <c r="Z3" s="45"/>
      <c r="AA3" s="45"/>
    </row>
    <row r="4" spans="1:27" s="53" customFormat="1" ht="15" customHeight="1">
      <c r="A4" s="22" t="s">
        <v>25</v>
      </c>
      <c r="B4" s="22" t="s">
        <v>1</v>
      </c>
      <c r="C4" s="22" t="s">
        <v>2</v>
      </c>
      <c r="G4" s="46"/>
      <c r="H4" s="47"/>
      <c r="I4" s="47"/>
      <c r="J4" s="46"/>
      <c r="K4" s="47"/>
      <c r="L4" s="15"/>
      <c r="M4" s="51"/>
      <c r="N4" s="15"/>
      <c r="O4" s="15"/>
      <c r="P4" s="51"/>
      <c r="Q4" s="15"/>
      <c r="R4" s="47"/>
      <c r="S4" s="54"/>
      <c r="T4" s="47"/>
      <c r="U4" s="47"/>
      <c r="V4" s="54"/>
      <c r="W4" s="47"/>
      <c r="X4" s="47"/>
      <c r="Y4" s="54"/>
      <c r="Z4" s="47"/>
      <c r="AA4" s="47"/>
    </row>
    <row r="5" spans="1:27" ht="15" customHeight="1">
      <c r="A5" s="84">
        <v>33.126776681912979</v>
      </c>
      <c r="B5" s="22">
        <v>12.524148449415351</v>
      </c>
      <c r="C5" s="22">
        <v>440.00937906204518</v>
      </c>
      <c r="D5" s="1"/>
      <c r="E5" s="1"/>
    </row>
    <row r="6" spans="1:27" ht="15" customHeight="1">
      <c r="A6" s="84">
        <v>33.129292174750731</v>
      </c>
      <c r="B6" s="22">
        <v>12.523640061006608</v>
      </c>
      <c r="C6" s="22">
        <v>439.6834242388461</v>
      </c>
    </row>
    <row r="7" spans="1:27" ht="15" customHeight="1">
      <c r="A7" s="84">
        <v>33.136837507523254</v>
      </c>
      <c r="B7" s="22">
        <v>12.523131672597861</v>
      </c>
      <c r="C7" s="22">
        <v>438.61666299928567</v>
      </c>
    </row>
    <row r="8" spans="1:27" ht="15" customHeight="1">
      <c r="A8" s="84">
        <v>33.149409245616027</v>
      </c>
      <c r="B8" s="22">
        <v>12.522114895780373</v>
      </c>
      <c r="C8" s="22">
        <v>436.77946308670926</v>
      </c>
    </row>
    <row r="9" spans="1:27" ht="15" customHeight="1">
      <c r="A9" s="84">
        <v>33.167001673349972</v>
      </c>
      <c r="B9" s="22">
        <v>12.520081342145398</v>
      </c>
      <c r="C9" s="22">
        <v>434.26072127108029</v>
      </c>
    </row>
    <row r="10" spans="1:27" ht="15" customHeight="1">
      <c r="A10" s="84">
        <v>33.189606806950877</v>
      </c>
      <c r="B10" s="22">
        <v>12.519064565327909</v>
      </c>
      <c r="C10" s="22">
        <v>431.06043755239887</v>
      </c>
    </row>
    <row r="11" spans="1:27" ht="15" customHeight="1">
      <c r="A11" s="84">
        <v>33.217214412610417</v>
      </c>
      <c r="B11" s="22">
        <v>12.515505846466699</v>
      </c>
      <c r="C11" s="22">
        <v>427.14897967401038</v>
      </c>
    </row>
    <row r="12" spans="1:27" ht="15" customHeight="1">
      <c r="A12" s="84">
        <v>33.249812029543868</v>
      </c>
      <c r="B12" s="22">
        <v>12.512455516014235</v>
      </c>
      <c r="C12" s="22">
        <v>422.52634763591493</v>
      </c>
    </row>
    <row r="13" spans="1:27" ht="15" customHeight="1">
      <c r="A13" s="84">
        <v>33.287384997923759</v>
      </c>
      <c r="B13" s="22">
        <v>12.508896797153021</v>
      </c>
      <c r="C13" s="22">
        <v>417.04438015484033</v>
      </c>
    </row>
    <row r="14" spans="1:27" ht="15" customHeight="1">
      <c r="A14" s="84">
        <v>33.329916491544552</v>
      </c>
      <c r="B14" s="22">
        <v>12.502796136248092</v>
      </c>
      <c r="C14" s="22">
        <v>411.0290320539853</v>
      </c>
    </row>
    <row r="15" spans="1:27" ht="15" customHeight="1">
      <c r="A15" s="84">
        <v>33.3773875550499</v>
      </c>
      <c r="B15" s="22">
        <v>12.49771225216065</v>
      </c>
      <c r="C15" s="22">
        <v>404.12471625349662</v>
      </c>
      <c r="S15" s="55"/>
    </row>
    <row r="16" spans="1:27" ht="15" customHeight="1">
      <c r="A16" s="84">
        <v>33.429777145532995</v>
      </c>
      <c r="B16" s="22">
        <v>12.49059481443823</v>
      </c>
      <c r="C16" s="22">
        <v>396.65738757657323</v>
      </c>
    </row>
    <row r="17" spans="1:3" ht="15" customHeight="1">
      <c r="A17" s="84">
        <v>33.487062178300043</v>
      </c>
      <c r="B17" s="22">
        <v>12.483477376715808</v>
      </c>
      <c r="C17" s="22">
        <v>388.44925248328838</v>
      </c>
    </row>
    <row r="18" spans="1:3" ht="15" customHeight="1">
      <c r="A18" s="84">
        <v>33.549217576569504</v>
      </c>
      <c r="B18" s="22">
        <v>12.473817996949666</v>
      </c>
      <c r="C18" s="22">
        <v>379.47067871698766</v>
      </c>
    </row>
    <row r="19" spans="1:3" ht="15" customHeight="1">
      <c r="A19" s="84">
        <v>33.61621632486321</v>
      </c>
      <c r="B19" s="22">
        <v>12.463141840366038</v>
      </c>
      <c r="C19" s="22">
        <v>369.86982756094335</v>
      </c>
    </row>
    <row r="20" spans="1:3" ht="15" customHeight="1">
      <c r="A20" s="84">
        <v>33.688029525832071</v>
      </c>
      <c r="B20" s="22">
        <v>12.451957295373663</v>
      </c>
      <c r="C20" s="22">
        <v>359.35037644861075</v>
      </c>
    </row>
    <row r="21" spans="1:3" ht="15" customHeight="1">
      <c r="A21" s="84">
        <v>33.764626460246824</v>
      </c>
      <c r="B21" s="22">
        <v>12.438230808337568</v>
      </c>
      <c r="C21" s="22">
        <v>348.32717697315246</v>
      </c>
    </row>
    <row r="22" spans="1:3" ht="15" customHeight="1">
      <c r="A22" s="84">
        <v>33.845974649875281</v>
      </c>
      <c r="B22" s="22">
        <v>12.423487544483985</v>
      </c>
      <c r="C22" s="22">
        <v>336.44464205471479</v>
      </c>
    </row>
    <row r="23" spans="1:3" ht="15" customHeight="1">
      <c r="A23" s="84">
        <v>33.932039922959738</v>
      </c>
      <c r="B23" s="22">
        <v>12.405693950177934</v>
      </c>
      <c r="C23" s="22">
        <v>323.99909425984248</v>
      </c>
    </row>
    <row r="24" spans="1:3" ht="15" customHeight="1">
      <c r="A24" s="84">
        <v>34.022786482003497</v>
      </c>
      <c r="B24" s="22">
        <v>12.385358413828165</v>
      </c>
      <c r="C24" s="22">
        <v>310.72384327864535</v>
      </c>
    </row>
    <row r="25" spans="1:3" ht="15" customHeight="1">
      <c r="A25" s="84">
        <v>34.118176973572311</v>
      </c>
      <c r="B25" s="22">
        <v>12.356888662938484</v>
      </c>
      <c r="C25" s="22">
        <v>296.73741813774132</v>
      </c>
    </row>
    <row r="26" spans="1:3" ht="15" customHeight="1">
      <c r="A26" s="84">
        <v>34.218172559815834</v>
      </c>
      <c r="B26" s="22">
        <v>12.329944077275037</v>
      </c>
      <c r="C26" s="22">
        <v>282.03981883713016</v>
      </c>
    </row>
    <row r="27" spans="1:3" ht="15" customHeight="1">
      <c r="A27" s="84">
        <v>34.322732991415471</v>
      </c>
      <c r="B27" s="22">
        <v>12.29842399593289</v>
      </c>
      <c r="C27" s="22">
        <v>266.6310453768121</v>
      </c>
    </row>
    <row r="28" spans="1:3" ht="15" customHeight="1">
      <c r="A28" s="84">
        <v>34.431816681668131</v>
      </c>
      <c r="B28" s="22">
        <v>12.262328418912047</v>
      </c>
      <c r="C28" s="22">
        <v>250.48146550013251</v>
      </c>
    </row>
    <row r="29" spans="1:3" ht="15" customHeight="1">
      <c r="A29" s="84">
        <v>34.545380781420448</v>
      </c>
      <c r="B29" s="22">
        <v>12.221657346212506</v>
      </c>
      <c r="C29" s="22">
        <v>233.65034372040043</v>
      </c>
    </row>
    <row r="30" spans="1:3" ht="15" customHeight="1">
      <c r="A30" s="84">
        <v>34.663381254574688</v>
      </c>
      <c r="B30" s="22">
        <v>12.17234367056431</v>
      </c>
      <c r="C30" s="22">
        <v>216.13768003761587</v>
      </c>
    </row>
    <row r="31" spans="1:3" ht="15" customHeight="1">
      <c r="A31" s="84">
        <v>34.785772953895965</v>
      </c>
      <c r="B31" s="22">
        <v>12.116929334011184</v>
      </c>
      <c r="C31" s="22">
        <v>197.73604865519744</v>
      </c>
    </row>
    <row r="32" spans="1:3" ht="15" customHeight="1">
      <c r="A32" s="84">
        <v>34.912509696859857</v>
      </c>
      <c r="B32" s="22">
        <v>12.056939501779357</v>
      </c>
      <c r="C32" s="22">
        <v>181.97168811502587</v>
      </c>
    </row>
    <row r="33" spans="1:3" ht="15" customHeight="1">
      <c r="A33" s="84">
        <v>35.043544341290591</v>
      </c>
      <c r="B33" s="22">
        <v>12.043213014743264</v>
      </c>
      <c r="C33" s="22">
        <v>181.97168811502587</v>
      </c>
    </row>
    <row r="34" spans="1:3" ht="15" customHeight="1">
      <c r="A34" s="84">
        <v>35.17882886055191</v>
      </c>
      <c r="B34" s="22">
        <v>12.036603965429586</v>
      </c>
      <c r="C34" s="22">
        <v>182.06058488498925</v>
      </c>
    </row>
    <row r="35" spans="1:3" ht="15" customHeight="1">
      <c r="A35" s="84">
        <v>35.318314418065498</v>
      </c>
      <c r="B35" s="22">
        <v>12.031520081342146</v>
      </c>
      <c r="C35" s="22">
        <v>181.91242360171694</v>
      </c>
    </row>
    <row r="36" spans="1:3" ht="15" customHeight="1">
      <c r="A36" s="84">
        <v>35.461951440945832</v>
      </c>
      <c r="B36" s="22">
        <v>12.028469750889677</v>
      </c>
      <c r="C36" s="22">
        <v>181.94205585837142</v>
      </c>
    </row>
    <row r="37" spans="1:3" ht="15" customHeight="1">
      <c r="A37" s="84">
        <v>35.609689692554184</v>
      </c>
      <c r="B37" s="22">
        <v>12.026944585663447</v>
      </c>
      <c r="C37" s="22">
        <v>182.06058488498925</v>
      </c>
    </row>
    <row r="38" spans="1:3" ht="15" customHeight="1">
      <c r="A38" s="84">
        <v>35.761478343789612</v>
      </c>
      <c r="B38" s="22">
        <v>12.0264361972547</v>
      </c>
      <c r="C38" s="22">
        <v>182.03095262833477</v>
      </c>
    </row>
    <row r="39" spans="1:3" ht="15" customHeight="1">
      <c r="A39" s="84">
        <v>35.917266042949315</v>
      </c>
      <c r="B39" s="22">
        <v>12.025419420437212</v>
      </c>
      <c r="C39" s="22">
        <v>181.94205585837142</v>
      </c>
    </row>
    <row r="40" spans="1:3" ht="15" customHeight="1">
      <c r="A40" s="84">
        <v>36.077000984006418</v>
      </c>
      <c r="B40" s="22">
        <v>12.02389425521098</v>
      </c>
      <c r="C40" s="22">
        <v>181.97168811502587</v>
      </c>
    </row>
    <row r="41" spans="1:3" ht="15" customHeight="1">
      <c r="A41" s="84">
        <v>36.24063097316786</v>
      </c>
      <c r="B41" s="22">
        <v>12.022877478393491</v>
      </c>
      <c r="C41" s="22">
        <v>181.97168811502587</v>
      </c>
    </row>
    <row r="42" spans="1:3" ht="15" customHeight="1">
      <c r="A42" s="84">
        <v>36.408103493590545</v>
      </c>
      <c r="B42" s="22">
        <v>12.021352313167258</v>
      </c>
      <c r="C42" s="22">
        <v>181.97168811502587</v>
      </c>
    </row>
    <row r="43" spans="1:3" ht="15" customHeight="1">
      <c r="A43" s="84">
        <v>36.579365768148577</v>
      </c>
      <c r="B43" s="22">
        <v>12.018810371123536</v>
      </c>
      <c r="C43" s="22">
        <v>182.00132037168032</v>
      </c>
    </row>
    <row r="44" spans="1:3" ht="15" customHeight="1">
      <c r="A44" s="84">
        <v>36.754364820158891</v>
      </c>
      <c r="B44" s="22">
        <v>12.016776817488559</v>
      </c>
      <c r="C44" s="22">
        <v>181.97168811502587</v>
      </c>
    </row>
    <row r="45" spans="1:3" ht="15" customHeight="1">
      <c r="A45" s="84">
        <v>36.933047531986851</v>
      </c>
      <c r="B45" s="22">
        <v>12.016776817488559</v>
      </c>
      <c r="C45" s="22">
        <v>181.94205585837142</v>
      </c>
    </row>
    <row r="46" spans="1:3" ht="15" customHeight="1">
      <c r="A46" s="84">
        <v>37.115360701466983</v>
      </c>
      <c r="B46" s="22">
        <v>12.016268429079815</v>
      </c>
      <c r="C46" s="22">
        <v>181.94205585837142</v>
      </c>
    </row>
    <row r="47" spans="1:3" ht="15" customHeight="1">
      <c r="A47" s="84">
        <v>37.301251096087022</v>
      </c>
      <c r="B47" s="22">
        <v>12.017285205897304</v>
      </c>
      <c r="C47" s="22">
        <v>181.97168811502587</v>
      </c>
    </row>
    <row r="48" spans="1:3" ht="15" customHeight="1">
      <c r="A48" s="84">
        <v>37.490665504896015</v>
      </c>
      <c r="B48" s="22">
        <v>12.016268429079815</v>
      </c>
      <c r="C48" s="22">
        <v>181.94205585837142</v>
      </c>
    </row>
    <row r="49" spans="1:3" ht="15" customHeight="1">
      <c r="A49" s="84">
        <v>37.683550788109123</v>
      </c>
      <c r="B49" s="22">
        <v>12.014234875444838</v>
      </c>
      <c r="C49" s="22">
        <v>181.91242360171694</v>
      </c>
    </row>
    <row r="50" spans="1:3" ht="15" customHeight="1">
      <c r="A50" s="84">
        <v>37.879853924392755</v>
      </c>
      <c r="B50" s="22">
        <v>12.012201321809862</v>
      </c>
      <c r="C50" s="22">
        <v>182.03095262833477</v>
      </c>
    </row>
    <row r="51" spans="1:3" ht="15" customHeight="1">
      <c r="A51" s="84">
        <v>38.079522055824178</v>
      </c>
      <c r="B51" s="22">
        <v>12.012201321809862</v>
      </c>
      <c r="C51" s="22">
        <v>181.94205585837142</v>
      </c>
    </row>
    <row r="52" spans="1:3" ht="15" customHeight="1">
      <c r="A52" s="84">
        <v>38.282502530529534</v>
      </c>
      <c r="B52" s="22">
        <v>12.012709710218605</v>
      </c>
      <c r="C52" s="22">
        <v>182.00132037168032</v>
      </c>
    </row>
    <row r="53" spans="1:3" ht="15" customHeight="1">
      <c r="A53" s="84">
        <v>38.488742943013008</v>
      </c>
      <c r="B53" s="22">
        <v>12.012709710218605</v>
      </c>
      <c r="C53" s="22">
        <v>181.97168811502587</v>
      </c>
    </row>
    <row r="54" spans="1:3" ht="15" customHeight="1">
      <c r="A54" s="84">
        <v>38.698191172198214</v>
      </c>
      <c r="B54" s="22">
        <v>12.012201321809862</v>
      </c>
      <c r="C54" s="22">
        <v>182.00132037168032</v>
      </c>
    </row>
    <row r="55" spans="1:3" ht="15" customHeight="1">
      <c r="A55" s="84">
        <v>38.910795417210373</v>
      </c>
      <c r="B55" s="22">
        <v>12.00965937976614</v>
      </c>
      <c r="C55" s="22">
        <v>181.94205585837142</v>
      </c>
    </row>
    <row r="56" spans="1:3" ht="15" customHeight="1">
      <c r="A56" s="84">
        <v>39.126504230934479</v>
      </c>
      <c r="B56" s="22">
        <v>12.009150991357394</v>
      </c>
      <c r="C56" s="22">
        <v>181.88279134506251</v>
      </c>
    </row>
    <row r="57" spans="1:3" ht="15" customHeight="1">
      <c r="A57" s="84">
        <v>39.345266551390907</v>
      </c>
      <c r="B57" s="22">
        <v>12.00965937976614</v>
      </c>
      <c r="C57" s="22">
        <v>181.97168811502587</v>
      </c>
    </row>
    <row r="58" spans="1:3" ht="15" customHeight="1">
      <c r="A58" s="84">
        <v>39.567031730975224</v>
      </c>
      <c r="B58" s="22">
        <v>12.010167768174885</v>
      </c>
      <c r="C58" s="22">
        <v>181.94205585837142</v>
      </c>
    </row>
    <row r="59" spans="1:3" ht="15" customHeight="1">
      <c r="A59" s="84">
        <v>39.791749563613479</v>
      </c>
      <c r="B59" s="22">
        <v>12.010676156583628</v>
      </c>
      <c r="C59" s="22">
        <v>181.94205585837142</v>
      </c>
    </row>
    <row r="60" spans="1:3" ht="15" customHeight="1">
      <c r="A60" s="84">
        <v>40.019370309888686</v>
      </c>
      <c r="B60" s="22">
        <v>12.007117437722417</v>
      </c>
      <c r="C60" s="22">
        <v>182.03095262833477</v>
      </c>
    </row>
    <row r="61" spans="1:3" ht="15" customHeight="1">
      <c r="A61" s="84">
        <v>40.249844720197366</v>
      </c>
      <c r="B61" s="22">
        <v>12.007117437722417</v>
      </c>
      <c r="C61" s="22">
        <v>181.97168811502587</v>
      </c>
    </row>
    <row r="62" spans="1:3" ht="15" customHeight="1">
      <c r="A62" s="84">
        <v>40.483124055998118</v>
      </c>
      <c r="B62" s="22">
        <v>12.005592272496186</v>
      </c>
      <c r="C62" s="22">
        <v>181.94205585837142</v>
      </c>
    </row>
    <row r="63" spans="1:3" ht="15" customHeight="1">
      <c r="A63" s="84">
        <v>40.719160109216396</v>
      </c>
      <c r="B63" s="22">
        <v>12.005592272496186</v>
      </c>
      <c r="C63" s="22">
        <v>181.88279134506251</v>
      </c>
    </row>
    <row r="64" spans="1:3" ht="15" customHeight="1">
      <c r="A64" s="84">
        <v>40.957905219871776</v>
      </c>
      <c r="B64" s="22">
        <v>12.007117437722417</v>
      </c>
      <c r="C64" s="22">
        <v>182.00132037168032</v>
      </c>
    </row>
    <row r="65" spans="1:3" ht="15" customHeight="1">
      <c r="A65" s="84">
        <v>41.199312291995035</v>
      </c>
      <c r="B65" s="22">
        <v>12.007117437722417</v>
      </c>
      <c r="C65" s="22">
        <v>182.00132037168032</v>
      </c>
    </row>
    <row r="66" spans="1:3" ht="15" customHeight="1">
      <c r="A66" s="84">
        <v>41.443334807903668</v>
      </c>
      <c r="B66" s="22">
        <v>12.005083884087441</v>
      </c>
      <c r="C66" s="22">
        <v>181.97168811502587</v>
      </c>
    </row>
    <row r="67" spans="1:3" ht="15" customHeight="1">
      <c r="A67" s="84">
        <v>41.689926840904867</v>
      </c>
      <c r="B67" s="22">
        <v>12.005083884087441</v>
      </c>
      <c r="C67" s="22">
        <v>181.94205585837142</v>
      </c>
    </row>
    <row r="68" spans="1:3" ht="15" customHeight="1">
      <c r="A68" s="84">
        <v>41.939043066495131</v>
      </c>
      <c r="B68" s="22">
        <v>12.003558718861209</v>
      </c>
      <c r="C68" s="22">
        <v>182.03095262833477</v>
      </c>
    </row>
    <row r="69" spans="1:3" ht="15" customHeight="1">
      <c r="A69" s="84">
        <v>42.190638772125745</v>
      </c>
      <c r="B69" s="22">
        <v>12.004575495678697</v>
      </c>
      <c r="C69" s="22">
        <v>181.97168811502587</v>
      </c>
    </row>
    <row r="70" spans="1:3" ht="15" customHeight="1">
      <c r="A70" s="84">
        <v>42.444669865602677</v>
      </c>
      <c r="B70" s="22">
        <v>12.004067107269952</v>
      </c>
      <c r="C70" s="22">
        <v>181.94205585837142</v>
      </c>
    </row>
    <row r="71" spans="1:3" ht="15" customHeight="1">
      <c r="A71" s="84">
        <v>42.701092882189016</v>
      </c>
      <c r="B71" s="22">
        <v>12.00254194204372</v>
      </c>
      <c r="C71" s="22">
        <v>181.82352683175358</v>
      </c>
    </row>
    <row r="72" spans="1:3" ht="15" customHeight="1">
      <c r="A72" s="84">
        <v>42.959864990476866</v>
      </c>
      <c r="B72" s="22">
        <v>12.002033553634975</v>
      </c>
      <c r="C72" s="22">
        <v>182.00132037168032</v>
      </c>
    </row>
    <row r="73" spans="1:3" ht="15" customHeight="1">
      <c r="A73" s="84">
        <v>43.220943997094743</v>
      </c>
      <c r="B73" s="22">
        <v>12.00254194204372</v>
      </c>
      <c r="C73" s="22">
        <v>182.03095262833477</v>
      </c>
    </row>
    <row r="74" spans="1:3" ht="15" customHeight="1">
      <c r="A74" s="84">
        <v>43.484288350314912</v>
      </c>
      <c r="B74" s="22">
        <v>12.001525165226232</v>
      </c>
      <c r="C74" s="22">
        <v>182.00132037168032</v>
      </c>
    </row>
    <row r="75" spans="1:3" ht="15" customHeight="1">
      <c r="A75" s="84">
        <v>43.749857142623902</v>
      </c>
      <c r="B75" s="22">
        <v>12.001525165226232</v>
      </c>
      <c r="C75" s="22">
        <v>181.97168811502587</v>
      </c>
    </row>
    <row r="76" spans="1:3" ht="15" customHeight="1">
      <c r="A76" s="84">
        <v>44.017610112317548</v>
      </c>
      <c r="B76" s="22">
        <v>12.001016776817487</v>
      </c>
      <c r="C76" s="22">
        <v>182.00132037168032</v>
      </c>
    </row>
    <row r="77" spans="1:3" ht="15" customHeight="1">
      <c r="A77" s="84">
        <v>44.287507644180359</v>
      </c>
      <c r="B77" s="22">
        <v>11.999999999999998</v>
      </c>
      <c r="C77" s="22">
        <v>181.88279134506251</v>
      </c>
    </row>
    <row r="78" spans="1:3" ht="15" customHeight="1">
      <c r="A78" s="84">
        <v>44.559510769307153</v>
      </c>
      <c r="B78" s="22">
        <v>11.999491611591253</v>
      </c>
      <c r="C78" s="22">
        <v>181.94205585837142</v>
      </c>
    </row>
    <row r="79" spans="1:3" ht="15" customHeight="1">
      <c r="A79" s="84">
        <v>44.833581164122947</v>
      </c>
      <c r="B79" s="22">
        <v>11.99898322318251</v>
      </c>
      <c r="C79" s="22">
        <v>182.03095262833477</v>
      </c>
    </row>
    <row r="80" spans="1:3" ht="15" customHeight="1">
      <c r="A80" s="84">
        <v>45.109681148655149</v>
      </c>
      <c r="B80" s="22">
        <v>11.998474834773766</v>
      </c>
      <c r="C80" s="22">
        <v>181.97168811502587</v>
      </c>
    </row>
    <row r="81" spans="1:3" ht="15" customHeight="1">
      <c r="A81" s="84">
        <v>45.38777368411013</v>
      </c>
      <c r="B81" s="22">
        <v>11.997966446365021</v>
      </c>
      <c r="C81" s="22">
        <v>182.06058488498925</v>
      </c>
    </row>
    <row r="82" spans="1:3" ht="15" customHeight="1">
      <c r="A82" s="84">
        <v>45.667822369804327</v>
      </c>
      <c r="B82" s="22">
        <v>11.996949669547533</v>
      </c>
      <c r="C82" s="22">
        <v>182.06058488498925</v>
      </c>
    </row>
    <row r="83" spans="1:3" ht="15" customHeight="1">
      <c r="A83" s="84">
        <v>45.949791439497666</v>
      </c>
      <c r="B83" s="22">
        <v>11.996949669547533</v>
      </c>
      <c r="C83" s="22">
        <v>181.94205585837142</v>
      </c>
    </row>
    <row r="84" spans="1:3" ht="15" customHeight="1">
      <c r="A84" s="84">
        <v>46.233645757175587</v>
      </c>
      <c r="B84" s="22">
        <v>11.997458057956276</v>
      </c>
      <c r="C84" s="22">
        <v>182.06058488498925</v>
      </c>
    </row>
    <row r="85" spans="1:3" ht="15" customHeight="1">
      <c r="A85" s="84">
        <v>46.519350812323253</v>
      </c>
      <c r="B85" s="22">
        <v>11.996949669547533</v>
      </c>
      <c r="C85" s="22">
        <v>181.97168811502587</v>
      </c>
    </row>
    <row r="86" spans="1:3" ht="15" customHeight="1">
      <c r="A86" s="84">
        <v>46.806872714734247</v>
      </c>
      <c r="B86" s="22">
        <v>11.996441281138789</v>
      </c>
      <c r="C86" s="22">
        <v>182.00132037168032</v>
      </c>
    </row>
    <row r="87" spans="1:3" ht="15" customHeight="1">
      <c r="A87" s="84">
        <v>47.096178188893418</v>
      </c>
      <c r="B87" s="22">
        <v>11.996441281138789</v>
      </c>
      <c r="C87" s="22">
        <v>182.03095262833477</v>
      </c>
    </row>
    <row r="88" spans="1:3" ht="15" customHeight="1">
      <c r="A88" s="84">
        <v>47.387234567971994</v>
      </c>
      <c r="B88" s="22">
        <v>11.996441281138789</v>
      </c>
      <c r="C88" s="22">
        <v>181.97168811502587</v>
      </c>
    </row>
    <row r="89" spans="1:3" ht="15" customHeight="1">
      <c r="A89" s="84">
        <v>47.680009787471029</v>
      </c>
      <c r="B89" s="22">
        <v>11.995932892730044</v>
      </c>
      <c r="C89" s="22">
        <v>181.97168811502587</v>
      </c>
    </row>
    <row r="90" spans="1:3" ht="15" customHeight="1">
      <c r="A90" s="84">
        <v>47.974472378547325</v>
      </c>
      <c r="B90" s="22">
        <v>11.994916115912556</v>
      </c>
      <c r="C90" s="22">
        <v>182.00132037168032</v>
      </c>
    </row>
    <row r="91" spans="1:3" ht="15" customHeight="1">
      <c r="A91" s="84">
        <v>48.270591461054217</v>
      </c>
      <c r="B91" s="22">
        <v>11.993390950686322</v>
      </c>
      <c r="C91" s="22">
        <v>182.03095262833477</v>
      </c>
    </row>
    <row r="92" spans="1:3" ht="15" customHeight="1">
      <c r="A92" s="84">
        <v>48.568336736327851</v>
      </c>
      <c r="B92" s="22">
        <v>11.994407727503811</v>
      </c>
      <c r="C92" s="22">
        <v>182.00132037168032</v>
      </c>
    </row>
    <row r="93" spans="1:3" ht="15" customHeight="1">
      <c r="A93" s="84">
        <v>48.867678479747738</v>
      </c>
      <c r="B93" s="22">
        <v>11.993390950686322</v>
      </c>
      <c r="C93" s="22">
        <v>181.94205585837142</v>
      </c>
    </row>
    <row r="94" spans="1:3" ht="15" customHeight="1">
      <c r="A94" s="84">
        <v>49.168587533098815</v>
      </c>
      <c r="B94" s="22">
        <v>11.995424504321299</v>
      </c>
      <c r="C94" s="22">
        <v>181.97168811502587</v>
      </c>
    </row>
    <row r="95" spans="1:3" ht="15" customHeight="1">
      <c r="A95" s="84">
        <v>49.471035296760604</v>
      </c>
      <c r="B95" s="22">
        <v>11.994916115912556</v>
      </c>
      <c r="C95" s="22">
        <v>181.94205585837142</v>
      </c>
    </row>
    <row r="96" spans="1:3" ht="15" customHeight="1">
      <c r="A96" s="84">
        <v>49.774993721747471</v>
      </c>
      <c r="B96" s="22">
        <v>11.995932892730044</v>
      </c>
      <c r="C96" s="22">
        <v>182.03095262833477</v>
      </c>
    </row>
    <row r="97" spans="1:3" ht="15" customHeight="1">
      <c r="A97" s="84">
        <v>50.080435301622529</v>
      </c>
      <c r="B97" s="22">
        <v>11.994916115912556</v>
      </c>
      <c r="C97" s="22">
        <v>181.97168811502587</v>
      </c>
    </row>
    <row r="98" spans="1:3" ht="15" customHeight="1">
      <c r="A98" s="84">
        <v>50.387333064306283</v>
      </c>
      <c r="B98" s="22">
        <v>11.994916115912556</v>
      </c>
      <c r="C98" s="22">
        <v>182.03095262833477</v>
      </c>
    </row>
    <row r="99" spans="1:3" ht="15" customHeight="1">
      <c r="A99" s="84">
        <v>50.695660563799741</v>
      </c>
      <c r="B99" s="22">
        <v>11.995424504321299</v>
      </c>
      <c r="C99" s="22">
        <v>182.00132037168032</v>
      </c>
    </row>
    <row r="100" spans="1:3" ht="15" customHeight="1">
      <c r="A100" s="84">
        <v>51.005391871840374</v>
      </c>
      <c r="B100" s="22">
        <v>11.995932892730044</v>
      </c>
      <c r="C100" s="22">
        <v>181.94205585837142</v>
      </c>
    </row>
    <row r="101" spans="1:3" ht="15" customHeight="1">
      <c r="A101" s="84">
        <v>51.316501569508155</v>
      </c>
      <c r="B101" s="22">
        <v>11.996441281138789</v>
      </c>
      <c r="C101" s="22">
        <v>182.00132037168032</v>
      </c>
    </row>
    <row r="102" spans="1:3" ht="15" customHeight="1">
      <c r="A102" s="84">
        <v>51.628964738797542</v>
      </c>
      <c r="B102" s="22">
        <v>11.995932892730044</v>
      </c>
      <c r="C102" s="22">
        <v>181.91242360171694</v>
      </c>
    </row>
    <row r="103" spans="1:3" ht="15" customHeight="1">
      <c r="A103" s="84">
        <v>51.942756954170235</v>
      </c>
      <c r="B103" s="22">
        <v>11.996441281138789</v>
      </c>
      <c r="C103" s="22">
        <v>181.97168811502587</v>
      </c>
    </row>
    <row r="104" spans="1:3" ht="15" customHeight="1">
      <c r="A104" s="84">
        <v>52.257854274102506</v>
      </c>
      <c r="B104" s="22">
        <v>11.997458057956276</v>
      </c>
      <c r="C104" s="22">
        <v>181.91242360171694</v>
      </c>
    </row>
    <row r="105" spans="1:3" ht="15" customHeight="1">
      <c r="A105" s="84">
        <v>52.574233232639735</v>
      </c>
      <c r="B105" s="22">
        <v>11.995424504321299</v>
      </c>
      <c r="C105" s="22">
        <v>181.94205585837142</v>
      </c>
    </row>
    <row r="106" spans="1:3" ht="15" customHeight="1">
      <c r="A106" s="84">
        <v>52.891870830969857</v>
      </c>
      <c r="B106" s="22">
        <v>11.995932892730044</v>
      </c>
      <c r="C106" s="22">
        <v>181.94205585837142</v>
      </c>
    </row>
    <row r="107" spans="1:3" ht="15" customHeight="1">
      <c r="A107" s="84">
        <v>53.210744529026591</v>
      </c>
      <c r="B107" s="22">
        <v>11.996441281138789</v>
      </c>
      <c r="C107" s="22">
        <v>181.94205585837142</v>
      </c>
    </row>
    <row r="108" spans="1:3" ht="15" customHeight="1">
      <c r="A108" s="84">
        <v>53.530832237132273</v>
      </c>
      <c r="B108" s="22">
        <v>11.997458057956276</v>
      </c>
      <c r="C108" s="22">
        <v>181.94205585837142</v>
      </c>
    </row>
    <row r="109" spans="1:3" ht="15" customHeight="1">
      <c r="A109" s="84">
        <v>53.852112307689474</v>
      </c>
      <c r="B109" s="22">
        <v>11.996441281138789</v>
      </c>
      <c r="C109" s="22">
        <v>182.00132037168032</v>
      </c>
    </row>
    <row r="110" spans="1:3" ht="15" customHeight="1">
      <c r="A110" s="84">
        <v>54.174563526929624</v>
      </c>
      <c r="B110" s="22">
        <v>11.996441281138789</v>
      </c>
      <c r="C110" s="22">
        <v>182.00132037168032</v>
      </c>
    </row>
    <row r="111" spans="1:3" ht="15" customHeight="1">
      <c r="A111" s="84">
        <v>54.498165106726304</v>
      </c>
      <c r="B111" s="22">
        <v>11.997458057956276</v>
      </c>
      <c r="C111" s="22">
        <v>182.03095262833477</v>
      </c>
    </row>
    <row r="112" spans="1:3" ht="15" customHeight="1">
      <c r="A112" s="84">
        <v>54.822896676479985</v>
      </c>
      <c r="B112" s="22">
        <v>11.996441281138789</v>
      </c>
      <c r="C112" s="22">
        <v>182.03095262833477</v>
      </c>
    </row>
    <row r="113" spans="1:3" ht="15" customHeight="1">
      <c r="A113" s="84">
        <v>55.148738275080539</v>
      </c>
      <c r="B113" s="22">
        <v>11.996441281138789</v>
      </c>
      <c r="C113" s="22">
        <v>182.00132037168032</v>
      </c>
    </row>
    <row r="114" spans="1:3" ht="15" customHeight="1">
      <c r="A114" s="84">
        <v>55.475670342953045</v>
      </c>
      <c r="B114" s="22">
        <v>11.996441281138789</v>
      </c>
      <c r="C114" s="22">
        <v>182.03095262833477</v>
      </c>
    </row>
    <row r="115" spans="1:3" ht="15" customHeight="1">
      <c r="A115" s="84">
        <v>55.803673714191973</v>
      </c>
      <c r="B115" s="22">
        <v>11.996441281138789</v>
      </c>
      <c r="C115" s="22">
        <v>182.00132037168032</v>
      </c>
    </row>
    <row r="116" spans="1:3" ht="15" customHeight="1">
      <c r="A116" s="84">
        <v>56.132729608788253</v>
      </c>
      <c r="B116" s="22">
        <v>11.996441281138789</v>
      </c>
      <c r="C116" s="22">
        <v>181.97168811502587</v>
      </c>
    </row>
    <row r="117" spans="1:3" ht="15" customHeight="1">
      <c r="A117" s="84">
        <v>56.462819624953198</v>
      </c>
      <c r="B117" s="22">
        <v>11.995424504321299</v>
      </c>
      <c r="C117" s="22">
        <v>182.03095262833477</v>
      </c>
    </row>
    <row r="118" spans="1:3" ht="15" customHeight="1">
      <c r="A118" s="84">
        <v>56.793925731542807</v>
      </c>
      <c r="B118" s="22">
        <v>11.994916115912556</v>
      </c>
      <c r="C118" s="22">
        <v>181.94205585837142</v>
      </c>
    </row>
    <row r="119" spans="1:3" ht="15" customHeight="1">
      <c r="A119" s="84">
        <v>57.126030260585523</v>
      </c>
      <c r="B119" s="22">
        <v>11.996441281138789</v>
      </c>
      <c r="C119" s="22">
        <v>181.94205585837142</v>
      </c>
    </row>
    <row r="120" spans="1:3" ht="15" customHeight="1">
      <c r="A120" s="84">
        <v>57.459115899916178</v>
      </c>
      <c r="B120" s="22">
        <v>11.995932892730044</v>
      </c>
      <c r="C120" s="22">
        <v>181.97168811502587</v>
      </c>
    </row>
    <row r="121" spans="1:3" ht="15" customHeight="1">
      <c r="A121" s="84">
        <v>57.793165685918261</v>
      </c>
      <c r="B121" s="22">
        <v>11.996441281138789</v>
      </c>
      <c r="C121" s="22">
        <v>182.00132037168032</v>
      </c>
    </row>
    <row r="122" spans="1:3" ht="15" customHeight="1">
      <c r="A122" s="84">
        <v>58.128162996376666</v>
      </c>
      <c r="B122" s="22">
        <v>11.995424504321299</v>
      </c>
      <c r="C122" s="22">
        <v>181.94205585837142</v>
      </c>
    </row>
    <row r="123" spans="1:3" ht="15" customHeight="1">
      <c r="A123" s="84">
        <v>58.464091543442287</v>
      </c>
      <c r="B123" s="22">
        <v>11.995424504321299</v>
      </c>
      <c r="C123" s="22">
        <v>181.94205585837142</v>
      </c>
    </row>
    <row r="124" spans="1:3" ht="15" customHeight="1">
      <c r="A124" s="84">
        <v>58.800935366709943</v>
      </c>
      <c r="B124" s="22">
        <v>11.995424504321299</v>
      </c>
      <c r="C124" s="22">
        <v>182.00132037168032</v>
      </c>
    </row>
    <row r="125" spans="1:3" ht="15" customHeight="1">
      <c r="A125" s="84">
        <v>59.138678826410498</v>
      </c>
      <c r="B125" s="22">
        <v>11.994916115912556</v>
      </c>
      <c r="C125" s="22">
        <v>181.97168811502587</v>
      </c>
    </row>
    <row r="126" spans="1:3" ht="15" customHeight="1">
      <c r="A126" s="84">
        <v>59.477306596718044</v>
      </c>
      <c r="B126" s="22">
        <v>11.993899339095067</v>
      </c>
      <c r="C126" s="22">
        <v>182.00132037168032</v>
      </c>
    </row>
    <row r="127" spans="1:3" ht="15" customHeight="1">
      <c r="A127" s="84">
        <v>59.816803659172564</v>
      </c>
      <c r="B127" s="22">
        <v>11.994916115912556</v>
      </c>
      <c r="C127" s="22">
        <v>181.94205585837142</v>
      </c>
    </row>
    <row r="128" spans="1:3" ht="15" customHeight="1">
      <c r="A128" s="84">
        <v>60.157155296218363</v>
      </c>
      <c r="B128" s="22">
        <v>11.994916115912556</v>
      </c>
      <c r="C128" s="22">
        <v>181.97168811502587</v>
      </c>
    </row>
    <row r="129" spans="1:3" ht="15" customHeight="1">
      <c r="A129" s="84">
        <v>60.498347084858445</v>
      </c>
      <c r="B129" s="22">
        <v>11.993899339095067</v>
      </c>
      <c r="C129" s="22">
        <v>181.94205585837142</v>
      </c>
    </row>
    <row r="130" spans="1:3" ht="15" customHeight="1">
      <c r="A130" s="84">
        <v>60.840364890424517</v>
      </c>
      <c r="B130" s="22">
        <v>11.993899339095067</v>
      </c>
      <c r="C130" s="22">
        <v>182.00132037168032</v>
      </c>
    </row>
    <row r="131" spans="1:3" ht="15" customHeight="1">
      <c r="A131" s="84">
        <v>61.183194860462571</v>
      </c>
      <c r="B131" s="22">
        <v>11.993390950686322</v>
      </c>
      <c r="C131" s="22">
        <v>182.03095262833477</v>
      </c>
    </row>
    <row r="132" spans="1:3" ht="15" customHeight="1">
      <c r="A132" s="84">
        <v>61.526823418733393</v>
      </c>
      <c r="B132" s="22">
        <v>11.993390950686322</v>
      </c>
      <c r="C132" s="22">
        <v>181.94205585837142</v>
      </c>
    </row>
    <row r="133" spans="1:3" ht="15" customHeight="1">
      <c r="A133" s="84">
        <v>61.871237259327536</v>
      </c>
      <c r="B133" s="22">
        <v>11.992882562277579</v>
      </c>
      <c r="C133" s="22">
        <v>181.97168811502587</v>
      </c>
    </row>
    <row r="134" spans="1:3" ht="15" customHeight="1">
      <c r="A134" s="84">
        <v>62.216423340893947</v>
      </c>
      <c r="B134" s="22">
        <v>11.994407727503811</v>
      </c>
      <c r="C134" s="22">
        <v>182.09021714164371</v>
      </c>
    </row>
    <row r="135" spans="1:3" ht="15" customHeight="1">
      <c r="A135" s="84">
        <v>62.562368880981481</v>
      </c>
      <c r="B135" s="22">
        <v>11.994916115912556</v>
      </c>
      <c r="C135" s="22">
        <v>181.97168811502587</v>
      </c>
    </row>
    <row r="136" spans="1:3" ht="15" customHeight="1">
      <c r="A136" s="84">
        <v>62.909061350492266</v>
      </c>
      <c r="B136" s="22">
        <v>11.996441281138789</v>
      </c>
      <c r="C136" s="22">
        <v>181.97168811502587</v>
      </c>
    </row>
    <row r="137" spans="1:3" ht="15" customHeight="1">
      <c r="A137" s="84">
        <v>63.256488468245955</v>
      </c>
      <c r="B137" s="22">
        <v>11.994407727503811</v>
      </c>
      <c r="C137" s="22">
        <v>182.00132037168032</v>
      </c>
    </row>
    <row r="138" spans="1:3" ht="15" customHeight="1">
      <c r="A138" s="84">
        <v>63.256620206900088</v>
      </c>
      <c r="B138" s="22">
        <v>11.994916115912556</v>
      </c>
      <c r="C138" s="22">
        <v>181.91242360171694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787C1E-9C3D-4680-B6B8-EC31291F5F39}">
  <dimension ref="A1:M4"/>
  <sheetViews>
    <sheetView workbookViewId="0">
      <pane ySplit="4" topLeftCell="A5" activePane="bottomLeft" state="frozen"/>
      <selection activeCell="G1" sqref="G1"/>
      <selection pane="bottomLeft"/>
    </sheetView>
  </sheetViews>
  <sheetFormatPr defaultRowHeight="15" customHeight="1"/>
  <cols>
    <col min="1" max="1" width="24.7109375" style="6" customWidth="1"/>
    <col min="2" max="9" width="24.7109375" style="78" customWidth="1"/>
    <col min="10" max="10" width="9.140625" style="78"/>
    <col min="11" max="11" width="24.7109375" style="6" customWidth="1"/>
    <col min="12" max="13" width="24.7109375" style="78" customWidth="1"/>
    <col min="14" max="16384" width="9.140625" style="2"/>
  </cols>
  <sheetData>
    <row r="1" spans="1:13" ht="15" customHeight="1">
      <c r="A1" s="25" t="s">
        <v>65</v>
      </c>
      <c r="B1" s="33"/>
      <c r="C1" s="33"/>
      <c r="D1" s="33"/>
      <c r="E1" s="33"/>
      <c r="F1" s="33"/>
      <c r="G1" s="33"/>
      <c r="H1" s="33"/>
      <c r="I1" s="33"/>
      <c r="J1" s="4"/>
      <c r="K1" s="10"/>
      <c r="L1" s="9"/>
      <c r="M1" s="9"/>
    </row>
    <row r="2" spans="1:13" ht="15" customHeight="1">
      <c r="A2" s="33"/>
      <c r="B2" s="33"/>
      <c r="C2" s="33"/>
      <c r="D2" s="33"/>
      <c r="E2" s="33"/>
      <c r="F2" s="33"/>
      <c r="G2" s="33"/>
      <c r="H2" s="33"/>
      <c r="I2" s="33"/>
      <c r="J2" s="4"/>
      <c r="K2" s="10"/>
      <c r="L2" s="9"/>
      <c r="M2" s="9"/>
    </row>
    <row r="3" spans="1:13" ht="30" customHeight="1">
      <c r="A3" s="33" t="s">
        <v>68</v>
      </c>
      <c r="B3" s="33" t="s">
        <v>72</v>
      </c>
      <c r="C3" s="33" t="s">
        <v>71</v>
      </c>
      <c r="D3" s="32" t="s">
        <v>67</v>
      </c>
      <c r="E3" s="33" t="s">
        <v>41</v>
      </c>
      <c r="F3" s="33" t="s">
        <v>7</v>
      </c>
      <c r="G3" s="33" t="s">
        <v>14</v>
      </c>
      <c r="H3" s="71" t="s">
        <v>73</v>
      </c>
      <c r="I3" s="71" t="s">
        <v>74</v>
      </c>
      <c r="J3" s="4"/>
      <c r="K3" s="33" t="s">
        <v>68</v>
      </c>
      <c r="L3" s="9" t="s">
        <v>42</v>
      </c>
      <c r="M3" s="9" t="s">
        <v>43</v>
      </c>
    </row>
    <row r="4" spans="1:13" ht="15" customHeight="1">
      <c r="A4" s="33" t="s">
        <v>0</v>
      </c>
      <c r="B4" s="33" t="s">
        <v>2</v>
      </c>
      <c r="C4" s="33" t="s">
        <v>1</v>
      </c>
      <c r="D4" s="33" t="s">
        <v>2</v>
      </c>
      <c r="E4" s="33" t="s">
        <v>0</v>
      </c>
      <c r="F4" s="33" t="s">
        <v>2</v>
      </c>
      <c r="G4" s="33" t="s">
        <v>1</v>
      </c>
      <c r="H4" s="33" t="s">
        <v>0</v>
      </c>
      <c r="I4" s="33" t="s">
        <v>0</v>
      </c>
      <c r="J4" s="4"/>
      <c r="K4" s="10" t="s">
        <v>0</v>
      </c>
      <c r="L4" s="9" t="s">
        <v>27</v>
      </c>
      <c r="M4" s="9" t="s">
        <v>1</v>
      </c>
    </row>
  </sheetData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BC8E1A-608D-4E61-AE80-D033B0146982}">
  <dimension ref="A1:AA15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1" width="24.7109375" style="84" customWidth="1"/>
    <col min="2" max="3" width="24.7109375" style="22" customWidth="1"/>
    <col min="4" max="6" width="9.140625" style="1"/>
    <col min="7" max="7" width="9.140625" style="51"/>
    <col min="8" max="9" width="9.140625" style="15"/>
    <col min="10" max="10" width="9.140625" style="51"/>
    <col min="11" max="12" width="9.140625" style="15"/>
    <col min="13" max="13" width="9.140625" style="51"/>
    <col min="14" max="15" width="9.140625" style="15"/>
    <col min="16" max="16" width="9.140625" style="51"/>
    <col min="17" max="18" width="9.140625" style="15"/>
    <col min="19" max="19" width="9.140625" style="51"/>
    <col min="20" max="21" width="9.140625" style="15"/>
    <col min="22" max="22" width="9.140625" style="51"/>
    <col min="23" max="24" width="9.140625" style="15"/>
    <col min="25" max="25" width="9.140625" style="51"/>
    <col min="26" max="27" width="9.140625" style="15"/>
    <col min="28" max="16384" width="9.140625" style="38"/>
  </cols>
  <sheetData>
    <row r="1" spans="1:27" s="48" customFormat="1" ht="15" customHeight="1">
      <c r="A1" s="23" t="s">
        <v>56</v>
      </c>
      <c r="B1" s="22"/>
      <c r="C1" s="22"/>
      <c r="G1" s="40"/>
      <c r="H1" s="41"/>
      <c r="I1" s="41"/>
      <c r="J1" s="40"/>
      <c r="K1" s="41"/>
      <c r="L1" s="41"/>
      <c r="M1" s="40"/>
      <c r="N1" s="41"/>
      <c r="O1" s="41"/>
      <c r="P1" s="40"/>
      <c r="Q1" s="41"/>
      <c r="R1" s="41"/>
      <c r="S1" s="40"/>
      <c r="T1" s="41"/>
      <c r="U1" s="41"/>
      <c r="V1" s="49"/>
      <c r="W1" s="41"/>
      <c r="X1" s="41"/>
      <c r="Y1" s="49"/>
      <c r="Z1" s="41"/>
      <c r="AA1" s="41"/>
    </row>
    <row r="2" spans="1:27" s="48" customFormat="1" ht="15" customHeight="1">
      <c r="A2" s="22"/>
      <c r="B2" s="22"/>
      <c r="C2" s="22"/>
      <c r="G2" s="40"/>
      <c r="H2" s="42"/>
      <c r="I2" s="42"/>
      <c r="J2" s="40"/>
      <c r="K2" s="42"/>
      <c r="L2" s="42"/>
      <c r="M2" s="40"/>
      <c r="N2" s="43"/>
      <c r="O2" s="43"/>
      <c r="P2" s="43"/>
      <c r="Q2" s="42"/>
      <c r="R2" s="42"/>
      <c r="S2" s="49"/>
      <c r="T2" s="42"/>
      <c r="U2" s="42"/>
      <c r="V2" s="49"/>
      <c r="W2" s="42"/>
      <c r="X2" s="42"/>
      <c r="Y2" s="49"/>
      <c r="Z2" s="42"/>
      <c r="AA2" s="42"/>
    </row>
    <row r="3" spans="1:27" s="50" customFormat="1" ht="15" customHeight="1">
      <c r="A3" s="24" t="s">
        <v>75</v>
      </c>
      <c r="B3" s="24" t="s">
        <v>76</v>
      </c>
      <c r="C3" s="24" t="s">
        <v>77</v>
      </c>
      <c r="G3" s="44"/>
      <c r="H3" s="45"/>
      <c r="I3" s="45"/>
      <c r="J3" s="44"/>
      <c r="K3" s="45"/>
      <c r="L3" s="15"/>
      <c r="M3" s="51"/>
      <c r="N3" s="15"/>
      <c r="O3" s="15"/>
      <c r="P3" s="51"/>
      <c r="Q3" s="15"/>
      <c r="R3" s="45"/>
      <c r="S3" s="52"/>
      <c r="T3" s="45"/>
      <c r="U3" s="45"/>
      <c r="V3" s="52"/>
      <c r="W3" s="45"/>
      <c r="X3" s="45"/>
      <c r="Y3" s="52"/>
      <c r="Z3" s="45"/>
      <c r="AA3" s="45"/>
    </row>
    <row r="4" spans="1:27" s="53" customFormat="1" ht="15" customHeight="1">
      <c r="A4" s="22" t="s">
        <v>25</v>
      </c>
      <c r="B4" s="22" t="s">
        <v>1</v>
      </c>
      <c r="C4" s="22" t="s">
        <v>2</v>
      </c>
      <c r="G4" s="46"/>
      <c r="H4" s="47"/>
      <c r="I4" s="47"/>
      <c r="J4" s="46"/>
      <c r="K4" s="47"/>
      <c r="L4" s="15"/>
      <c r="M4" s="51"/>
      <c r="N4" s="15"/>
      <c r="O4" s="15"/>
      <c r="P4" s="51"/>
      <c r="Q4" s="15"/>
      <c r="R4" s="47"/>
      <c r="S4" s="54"/>
      <c r="T4" s="47"/>
      <c r="U4" s="47"/>
      <c r="V4" s="54"/>
      <c r="W4" s="47"/>
      <c r="X4" s="47"/>
      <c r="Y4" s="54"/>
      <c r="Z4" s="47"/>
      <c r="AA4" s="47"/>
    </row>
    <row r="15" spans="1:27" ht="15" customHeight="1">
      <c r="S15" s="55"/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AC729D-51D6-4D34-85CB-B11D1FAB75B3}">
  <sheetPr codeName="Sheet1"/>
  <dimension ref="A1:Q590"/>
  <sheetViews>
    <sheetView topLeftCell="F1" zoomScaleNormal="100" workbookViewId="0">
      <pane ySplit="4" topLeftCell="A8" activePane="bottomLeft" state="frozen"/>
      <selection pane="bottomLeft" activeCell="R15" sqref="R15"/>
    </sheetView>
  </sheetViews>
  <sheetFormatPr defaultColWidth="9.140625" defaultRowHeight="15" customHeight="1"/>
  <cols>
    <col min="1" max="2" width="24.7109375" style="33" customWidth="1"/>
    <col min="3" max="3" width="24.7109375" style="26" customWidth="1"/>
    <col min="4" max="4" width="24.7109375" style="33" customWidth="1"/>
    <col min="5" max="5" width="24.7109375" style="26" customWidth="1"/>
    <col min="6" max="8" width="24.7109375" style="33" customWidth="1"/>
    <col min="9" max="9" width="9.140625" style="1"/>
    <col min="10" max="16" width="24.7109375" style="78" customWidth="1"/>
    <col min="17" max="17" width="24.7109375" style="83" customWidth="1"/>
    <col min="18" max="16384" width="9.140625" style="38"/>
  </cols>
  <sheetData>
    <row r="1" spans="1:17" ht="15" customHeight="1">
      <c r="A1" s="25" t="s">
        <v>63</v>
      </c>
      <c r="B1" s="26"/>
      <c r="D1" s="26"/>
      <c r="F1" s="26"/>
      <c r="G1" s="26"/>
      <c r="H1" s="26"/>
      <c r="J1" s="25" t="s">
        <v>64</v>
      </c>
      <c r="K1" s="26"/>
      <c r="L1" s="26"/>
      <c r="M1" s="26"/>
      <c r="N1" s="26"/>
      <c r="O1" s="26"/>
      <c r="P1" s="26"/>
      <c r="Q1" s="78"/>
    </row>
    <row r="2" spans="1:17" s="57" customFormat="1" ht="15" customHeight="1">
      <c r="A2" s="26"/>
      <c r="B2" s="26"/>
      <c r="C2" s="26"/>
      <c r="D2" s="26"/>
      <c r="E2" s="26"/>
      <c r="F2" s="26"/>
      <c r="G2" s="26"/>
      <c r="H2" s="26"/>
      <c r="J2" s="25"/>
      <c r="K2" s="26"/>
      <c r="L2" s="26"/>
      <c r="M2" s="26"/>
      <c r="N2" s="26"/>
      <c r="O2" s="26"/>
      <c r="P2" s="26"/>
      <c r="Q2" s="79"/>
    </row>
    <row r="3" spans="1:17" s="58" customFormat="1" ht="30" customHeight="1">
      <c r="A3" s="24" t="s">
        <v>71</v>
      </c>
      <c r="B3" s="24" t="s">
        <v>72</v>
      </c>
      <c r="C3" s="32" t="s">
        <v>84</v>
      </c>
      <c r="D3" s="24" t="s">
        <v>78</v>
      </c>
      <c r="E3" s="32" t="s">
        <v>83</v>
      </c>
      <c r="F3" s="24" t="s">
        <v>74</v>
      </c>
      <c r="G3" s="24" t="s">
        <v>80</v>
      </c>
      <c r="H3" s="24" t="s">
        <v>82</v>
      </c>
      <c r="J3" s="24" t="s">
        <v>71</v>
      </c>
      <c r="K3" s="24" t="s">
        <v>72</v>
      </c>
      <c r="L3" s="32" t="s">
        <v>67</v>
      </c>
      <c r="M3" s="24" t="s">
        <v>78</v>
      </c>
      <c r="N3" s="24" t="s">
        <v>79</v>
      </c>
      <c r="O3" s="24" t="s">
        <v>74</v>
      </c>
      <c r="P3" s="24" t="s">
        <v>80</v>
      </c>
      <c r="Q3" s="26" t="s">
        <v>81</v>
      </c>
    </row>
    <row r="4" spans="1:17" ht="15" customHeight="1">
      <c r="A4" s="26" t="s">
        <v>1</v>
      </c>
      <c r="B4" s="26" t="s">
        <v>2</v>
      </c>
      <c r="C4" s="26" t="s">
        <v>2</v>
      </c>
      <c r="D4" s="26" t="s">
        <v>2</v>
      </c>
      <c r="E4" s="26" t="s">
        <v>1</v>
      </c>
      <c r="F4" s="26" t="s">
        <v>0</v>
      </c>
      <c r="G4" s="26" t="s">
        <v>0</v>
      </c>
      <c r="H4" s="26" t="s">
        <v>27</v>
      </c>
      <c r="J4" s="26" t="s">
        <v>1</v>
      </c>
      <c r="K4" s="26" t="s">
        <v>2</v>
      </c>
      <c r="L4" s="26" t="s">
        <v>2</v>
      </c>
      <c r="M4" s="26" t="s">
        <v>2</v>
      </c>
      <c r="N4" s="26" t="s">
        <v>1</v>
      </c>
      <c r="O4" s="26" t="s">
        <v>0</v>
      </c>
      <c r="P4" s="26" t="s">
        <v>0</v>
      </c>
      <c r="Q4" s="78" t="s">
        <v>27</v>
      </c>
    </row>
    <row r="5" spans="1:17" ht="14.25">
      <c r="J5" s="78">
        <v>0</v>
      </c>
      <c r="K5" s="78">
        <v>3.3336288736265124E-2</v>
      </c>
      <c r="L5" s="78">
        <v>0</v>
      </c>
      <c r="M5" s="78">
        <v>181.88279134506251</v>
      </c>
      <c r="N5" s="78">
        <v>0</v>
      </c>
      <c r="O5" s="78">
        <v>1.8328445747800586E-4</v>
      </c>
      <c r="P5" s="78">
        <v>1</v>
      </c>
    </row>
    <row r="6" spans="1:17" ht="15" customHeight="1">
      <c r="J6" s="78">
        <v>5.0258223285154835E-2</v>
      </c>
      <c r="K6" s="78">
        <v>14.196494649407937</v>
      </c>
      <c r="L6" s="78">
        <v>-0.47411610647131397</v>
      </c>
      <c r="M6" s="78">
        <v>182.35690745153383</v>
      </c>
      <c r="N6" s="78">
        <v>-5.7768072741550837E-4</v>
      </c>
      <c r="O6" s="78">
        <v>7.8052984256629196E-2</v>
      </c>
      <c r="P6" s="78">
        <v>1.0026067122841316</v>
      </c>
      <c r="Q6" s="83">
        <v>28.180778059568123</v>
      </c>
    </row>
    <row r="7" spans="1:17" ht="15" customHeight="1">
      <c r="J7" s="78">
        <v>0.10224948875255627</v>
      </c>
      <c r="K7" s="78">
        <v>22.670224826526471</v>
      </c>
      <c r="L7" s="78">
        <v>-1.9557289391941879</v>
      </c>
      <c r="M7" s="78">
        <v>183.8385202842567</v>
      </c>
      <c r="N7" s="78">
        <v>5.7768072741614968E-4</v>
      </c>
      <c r="O7" s="78">
        <v>0.12464194473196318</v>
      </c>
      <c r="P7" s="78">
        <v>1.0107526881720428</v>
      </c>
      <c r="Q7" s="83">
        <v>22.138876989958813</v>
      </c>
    </row>
    <row r="8" spans="1:17" s="58" customFormat="1" ht="15" customHeight="1">
      <c r="A8" s="33"/>
      <c r="B8" s="33"/>
      <c r="C8" s="26"/>
      <c r="D8" s="33"/>
      <c r="E8" s="26"/>
      <c r="F8" s="33"/>
      <c r="G8" s="33"/>
      <c r="H8" s="33"/>
      <c r="I8" s="1"/>
      <c r="J8" s="78">
        <v>0.15366307349254213</v>
      </c>
      <c r="K8" s="78">
        <v>28.595594757510934</v>
      </c>
      <c r="L8" s="78">
        <v>-3.7336643384616934</v>
      </c>
      <c r="M8" s="78">
        <v>185.61645568352421</v>
      </c>
      <c r="N8" s="78">
        <v>5.7768072741614968E-4</v>
      </c>
      <c r="O8" s="78">
        <v>0.15721990269689803</v>
      </c>
      <c r="P8" s="78">
        <v>1.0205278592375366</v>
      </c>
      <c r="Q8" s="83">
        <v>18.58758764848011</v>
      </c>
    </row>
    <row r="9" spans="1:17" s="58" customFormat="1" ht="15" customHeight="1">
      <c r="A9" s="33"/>
      <c r="B9" s="33"/>
      <c r="C9" s="26"/>
      <c r="D9" s="33"/>
      <c r="E9" s="26"/>
      <c r="F9" s="33"/>
      <c r="G9" s="33"/>
      <c r="H9" s="33"/>
      <c r="I9" s="1"/>
      <c r="J9" s="78">
        <v>0.20507665823252808</v>
      </c>
      <c r="K9" s="78">
        <v>33.365308326685607</v>
      </c>
      <c r="L9" s="78">
        <v>-5.5412319943836224</v>
      </c>
      <c r="M9" s="78">
        <v>187.42402333944614</v>
      </c>
      <c r="N9" s="78">
        <v>5.7768072741614968E-4</v>
      </c>
      <c r="O9" s="78">
        <v>0.18344400852847018</v>
      </c>
      <c r="P9" s="78">
        <v>1.0304659498207884</v>
      </c>
      <c r="Q9" s="83">
        <v>16.253420708735938</v>
      </c>
    </row>
    <row r="10" spans="1:17" ht="15" customHeight="1">
      <c r="J10" s="78">
        <v>0.25649024297251399</v>
      </c>
      <c r="K10" s="78">
        <v>37.27568810059509</v>
      </c>
      <c r="L10" s="78">
        <v>-7.5265931902323189</v>
      </c>
      <c r="M10" s="78">
        <v>189.40938453529483</v>
      </c>
      <c r="N10" s="78">
        <v>-5.7768072741550837E-4</v>
      </c>
      <c r="O10" s="78">
        <v>0.20494345740426198</v>
      </c>
      <c r="P10" s="78">
        <v>1.0413815575105898</v>
      </c>
      <c r="Q10" s="83">
        <v>14.519987731404576</v>
      </c>
    </row>
    <row r="11" spans="1:17" ht="15" customHeight="1">
      <c r="J11" s="78">
        <v>0.30790382771249986</v>
      </c>
      <c r="K11" s="78">
        <v>40.504527619166105</v>
      </c>
      <c r="L11" s="78">
        <v>-8.711883456410618</v>
      </c>
      <c r="M11" s="78">
        <v>190.59467480147313</v>
      </c>
      <c r="N11" s="78">
        <v>5.7768072741614968E-4</v>
      </c>
      <c r="O11" s="78">
        <v>0.2226957664308227</v>
      </c>
      <c r="P11" s="78">
        <v>1.0478983382209188</v>
      </c>
      <c r="Q11" s="83">
        <v>13.144101400460389</v>
      </c>
    </row>
    <row r="12" spans="1:17" ht="15" customHeight="1">
      <c r="J12" s="78">
        <v>0.35931741245248577</v>
      </c>
      <c r="K12" s="78">
        <v>43.318517192288795</v>
      </c>
      <c r="L12" s="78">
        <v>-9.1563673062274802</v>
      </c>
      <c r="M12" s="78">
        <v>191.03915865128999</v>
      </c>
      <c r="N12" s="78">
        <v>0</v>
      </c>
      <c r="O12" s="78">
        <v>0.23816721126797652</v>
      </c>
      <c r="P12" s="78">
        <v>1.0503421309872922</v>
      </c>
      <c r="Q12" s="83">
        <v>12.046502452556854</v>
      </c>
    </row>
    <row r="13" spans="1:17" ht="15" customHeight="1">
      <c r="J13" s="78">
        <v>0.41015331646505615</v>
      </c>
      <c r="K13" s="78">
        <v>45.895462408729628</v>
      </c>
      <c r="L13" s="78">
        <v>-9.4230576161175748</v>
      </c>
      <c r="M13" s="78">
        <v>191.30584896118009</v>
      </c>
      <c r="N13" s="78">
        <v>1.7330421822471661E-3</v>
      </c>
      <c r="O13" s="78">
        <v>0.25233537526735089</v>
      </c>
      <c r="P13" s="78">
        <v>1.0518084066471161</v>
      </c>
      <c r="Q13" s="83">
        <v>11.181703104405027</v>
      </c>
    </row>
    <row r="14" spans="1:17" ht="15" customHeight="1">
      <c r="J14" s="78">
        <v>0.46214458193245755</v>
      </c>
      <c r="K14" s="78">
        <v>47.820475528807002</v>
      </c>
      <c r="L14" s="78">
        <v>-9.8082769526255333</v>
      </c>
      <c r="M14" s="78">
        <v>191.69106829768805</v>
      </c>
      <c r="N14" s="78">
        <v>1.1553614548316579E-3</v>
      </c>
      <c r="O14" s="78">
        <v>0.2629191864450961</v>
      </c>
      <c r="P14" s="78">
        <v>1.0539263603779732</v>
      </c>
      <c r="Q14" s="83">
        <v>10.340300656614607</v>
      </c>
    </row>
    <row r="15" spans="1:17" ht="15" customHeight="1">
      <c r="J15" s="78">
        <v>0.51355816667244347</v>
      </c>
      <c r="K15" s="78">
        <v>50.041824911982758</v>
      </c>
      <c r="L15" s="78">
        <v>-11.289889785348464</v>
      </c>
      <c r="M15" s="78">
        <v>193.17268113041098</v>
      </c>
      <c r="N15" s="78">
        <v>1.1553614548316579E-3</v>
      </c>
      <c r="O15" s="78">
        <v>0.27513226810470992</v>
      </c>
      <c r="P15" s="78">
        <v>1.0620723362658846</v>
      </c>
      <c r="Q15" s="83">
        <v>9.7376484045171079</v>
      </c>
    </row>
    <row r="16" spans="1:17" ht="15" customHeight="1">
      <c r="J16" s="78">
        <v>0.56497175141242939</v>
      </c>
      <c r="K16" s="78">
        <v>51.789059836401272</v>
      </c>
      <c r="L16" s="78">
        <v>-12.267754254945572</v>
      </c>
      <c r="M16" s="78">
        <v>194.15054560000809</v>
      </c>
      <c r="N16" s="78">
        <v>5.7768072741614968E-4</v>
      </c>
      <c r="O16" s="78">
        <v>0.2847386465394004</v>
      </c>
      <c r="P16" s="78">
        <v>1.0674486803519061</v>
      </c>
      <c r="Q16" s="83">
        <v>9.1607630679367062</v>
      </c>
    </row>
    <row r="17" spans="10:17" ht="15" customHeight="1">
      <c r="J17" s="78">
        <v>0.61638533615241531</v>
      </c>
      <c r="K17" s="78">
        <v>53.625193178497248</v>
      </c>
      <c r="L17" s="78">
        <v>-13.867896114286253</v>
      </c>
      <c r="M17" s="78">
        <v>195.75068745934877</v>
      </c>
      <c r="N17" s="78">
        <v>0</v>
      </c>
      <c r="O17" s="78">
        <v>0.29483379258657383</v>
      </c>
      <c r="P17" s="78">
        <v>1.0762463343108502</v>
      </c>
      <c r="Q17" s="83">
        <v>8.6945379369812237</v>
      </c>
    </row>
    <row r="18" spans="10:17" ht="15" customHeight="1">
      <c r="J18" s="78">
        <v>0.66779892089240123</v>
      </c>
      <c r="K18" s="78">
        <v>55.25390237172607</v>
      </c>
      <c r="L18" s="78">
        <v>-14.934657353846774</v>
      </c>
      <c r="M18" s="78">
        <v>196.81744869890929</v>
      </c>
      <c r="N18" s="78">
        <v>5.7768072741614968E-4</v>
      </c>
      <c r="O18" s="78">
        <v>0.30378851106864774</v>
      </c>
      <c r="P18" s="78">
        <v>1.0821114369501466</v>
      </c>
      <c r="Q18" s="83">
        <v>8.2690409276488168</v>
      </c>
    </row>
    <row r="19" spans="10:17" ht="15" customHeight="1">
      <c r="J19" s="78">
        <v>0.71921250563238703</v>
      </c>
      <c r="K19" s="78">
        <v>56.76408418605115</v>
      </c>
      <c r="L19" s="78">
        <v>-15.823625053480527</v>
      </c>
      <c r="M19" s="78">
        <v>197.70641639854304</v>
      </c>
      <c r="N19" s="78">
        <v>5.7768072741614968E-4</v>
      </c>
      <c r="O19" s="78">
        <v>0.31209156053889703</v>
      </c>
      <c r="P19" s="78">
        <v>1.0869990224828936</v>
      </c>
      <c r="Q19" s="83">
        <v>7.8878978678816001</v>
      </c>
    </row>
    <row r="20" spans="10:17" ht="15" customHeight="1">
      <c r="J20" s="78">
        <v>0.77062609037237295</v>
      </c>
      <c r="K20" s="78">
        <v>58.155738621472459</v>
      </c>
      <c r="L20" s="78">
        <v>-16.742225009768674</v>
      </c>
      <c r="M20" s="78">
        <v>198.62501635483119</v>
      </c>
      <c r="N20" s="78">
        <v>-5.7768072741550837E-4</v>
      </c>
      <c r="O20" s="78">
        <v>0.31974294099732148</v>
      </c>
      <c r="P20" s="78">
        <v>1.0920495275333983</v>
      </c>
      <c r="Q20" s="83">
        <v>7.5422313179989739</v>
      </c>
    </row>
    <row r="21" spans="10:17" ht="15" customHeight="1">
      <c r="J21" s="78">
        <v>0.82203967511235898</v>
      </c>
      <c r="K21" s="78">
        <v>59.428865677990046</v>
      </c>
      <c r="L21" s="78">
        <v>-17.631192709402427</v>
      </c>
      <c r="M21" s="78">
        <v>199.51398405446494</v>
      </c>
      <c r="N21" s="78">
        <v>5.7768072741614968E-4</v>
      </c>
      <c r="O21" s="78">
        <v>0.32674265244392148</v>
      </c>
      <c r="P21" s="78">
        <v>1.0969371130661452</v>
      </c>
      <c r="Q21" s="83">
        <v>7.2253847578750268</v>
      </c>
    </row>
    <row r="22" spans="10:17" ht="15" customHeight="1">
      <c r="J22" s="78">
        <v>0.87345325985234479</v>
      </c>
      <c r="K22" s="78">
        <v>60.701994382221685</v>
      </c>
      <c r="L22" s="78">
        <v>-18.460895895727248</v>
      </c>
      <c r="M22" s="78">
        <v>200.34368724078976</v>
      </c>
      <c r="N22" s="78">
        <v>1.1553614548316579E-3</v>
      </c>
      <c r="O22" s="78">
        <v>0.33374237294972947</v>
      </c>
      <c r="P22" s="78">
        <v>1.1014988595633757</v>
      </c>
      <c r="Q22" s="83">
        <v>6.9458391057743967</v>
      </c>
    </row>
    <row r="23" spans="10:17" ht="15" customHeight="1">
      <c r="J23" s="78">
        <v>0.92486684459233071</v>
      </c>
      <c r="K23" s="78">
        <v>61.85659570754958</v>
      </c>
      <c r="L23" s="78">
        <v>-19.320231338706549</v>
      </c>
      <c r="M23" s="78">
        <v>201.20302268376906</v>
      </c>
      <c r="N23" s="78">
        <v>0</v>
      </c>
      <c r="O23" s="78">
        <v>0.3400904244437129</v>
      </c>
      <c r="P23" s="78">
        <v>1.1062235255783643</v>
      </c>
      <c r="Q23" s="83">
        <v>6.6845578669288548</v>
      </c>
    </row>
    <row r="24" spans="10:17" ht="15" customHeight="1">
      <c r="J24" s="78">
        <v>0.97628042933231662</v>
      </c>
      <c r="K24" s="78">
        <v>62.922301910628171</v>
      </c>
      <c r="L24" s="78">
        <v>-19.675818418560027</v>
      </c>
      <c r="M24" s="78">
        <v>201.55860976362254</v>
      </c>
      <c r="N24" s="78">
        <v>5.7768072741614968E-4</v>
      </c>
      <c r="O24" s="78">
        <v>0.34594972644362976</v>
      </c>
      <c r="P24" s="78">
        <v>1.1081785597914631</v>
      </c>
      <c r="Q24" s="83">
        <v>6.4416906999664025</v>
      </c>
    </row>
    <row r="25" spans="10:17" ht="15" customHeight="1">
      <c r="J25" s="78">
        <v>1.0276940140723025</v>
      </c>
      <c r="K25" s="78">
        <v>64.19543555800206</v>
      </c>
      <c r="L25" s="78">
        <v>-20.624050631502655</v>
      </c>
      <c r="M25" s="78">
        <v>202.50684197656517</v>
      </c>
      <c r="N25" s="78">
        <v>5.7768072741614968E-4</v>
      </c>
      <c r="O25" s="78">
        <v>0.35294947412706257</v>
      </c>
      <c r="P25" s="78">
        <v>1.1133919843597262</v>
      </c>
      <c r="Q25" s="83">
        <v>6.2433076762819137</v>
      </c>
    </row>
    <row r="26" spans="10:17" ht="15" customHeight="1">
      <c r="J26" s="78">
        <v>1.0791075988122882</v>
      </c>
      <c r="K26" s="78">
        <v>65.112983773236522</v>
      </c>
      <c r="L26" s="78">
        <v>-21.038902224665065</v>
      </c>
      <c r="M26" s="78">
        <v>202.92169356972758</v>
      </c>
      <c r="N26" s="78">
        <v>1.1553614548316579E-3</v>
      </c>
      <c r="O26" s="78">
        <v>0.35799419665660476</v>
      </c>
      <c r="P26" s="78">
        <v>1.1156728576083412</v>
      </c>
      <c r="Q26" s="83">
        <v>6.0308765832183635</v>
      </c>
    </row>
    <row r="27" spans="10:17" ht="15" customHeight="1">
      <c r="J27" s="78">
        <v>1.1305211835522744</v>
      </c>
      <c r="K27" s="78">
        <v>66.030533636185055</v>
      </c>
      <c r="L27" s="78">
        <v>-21.661179614408695</v>
      </c>
      <c r="M27" s="78">
        <v>203.54397095947121</v>
      </c>
      <c r="N27" s="78">
        <v>1.1553614548316579E-3</v>
      </c>
      <c r="O27" s="78">
        <v>0.36303892824535516</v>
      </c>
      <c r="P27" s="78">
        <v>1.1190941674812642</v>
      </c>
      <c r="Q27" s="83">
        <v>5.837767421577654</v>
      </c>
    </row>
    <row r="28" spans="10:17" ht="15" customHeight="1">
      <c r="J28" s="78">
        <v>1.1819347682922601</v>
      </c>
      <c r="K28" s="78">
        <v>66.94808514684766</v>
      </c>
      <c r="L28" s="78">
        <v>-22.342721517461229</v>
      </c>
      <c r="M28" s="78">
        <v>204.22551286252374</v>
      </c>
      <c r="N28" s="78">
        <v>1.1553614548316579E-3</v>
      </c>
      <c r="O28" s="78">
        <v>0.36808366889331373</v>
      </c>
      <c r="P28" s="78">
        <v>1.1228413163897033</v>
      </c>
      <c r="Q28" s="83">
        <v>5.6614587076403868</v>
      </c>
    </row>
    <row r="29" spans="10:17" ht="15" customHeight="1">
      <c r="J29" s="78">
        <v>1.2333483530322462</v>
      </c>
      <c r="K29" s="78">
        <v>67.717477021952064</v>
      </c>
      <c r="L29" s="78">
        <v>-22.727940853969187</v>
      </c>
      <c r="M29" s="78">
        <v>204.6107321990317</v>
      </c>
      <c r="N29" s="78">
        <v>5.7768072741614968E-4</v>
      </c>
      <c r="O29" s="78">
        <v>0.37231382101168947</v>
      </c>
      <c r="P29" s="78">
        <v>1.1249592701205604</v>
      </c>
      <c r="Q29" s="83">
        <v>5.4878364710838659</v>
      </c>
    </row>
    <row r="30" spans="10:17" ht="15" customHeight="1">
      <c r="J30" s="78">
        <v>1.2841842570448163</v>
      </c>
      <c r="K30" s="78">
        <v>68.457250022223917</v>
      </c>
      <c r="L30" s="78">
        <v>-23.113160190477117</v>
      </c>
      <c r="M30" s="78">
        <v>204.99595153553963</v>
      </c>
      <c r="N30" s="78">
        <v>5.7768072741614968E-4</v>
      </c>
      <c r="O30" s="78">
        <v>0.37638112718618277</v>
      </c>
      <c r="P30" s="78">
        <v>1.1270772238514173</v>
      </c>
      <c r="Q30" s="83">
        <v>5.3282006346149862</v>
      </c>
    </row>
    <row r="31" spans="10:17" ht="15" customHeight="1">
      <c r="J31" s="78">
        <v>1.3361755225122178</v>
      </c>
      <c r="K31" s="78">
        <v>69.256265715303087</v>
      </c>
      <c r="L31" s="78">
        <v>-23.202056960440501</v>
      </c>
      <c r="M31" s="78">
        <v>205.08484830550302</v>
      </c>
      <c r="N31" s="78">
        <v>1.1553614548316579E-3</v>
      </c>
      <c r="O31" s="78">
        <v>0.38077415242606544</v>
      </c>
      <c r="P31" s="78">
        <v>1.127565982404692</v>
      </c>
      <c r="Q31" s="83">
        <v>5.1806763602746546</v>
      </c>
    </row>
    <row r="32" spans="10:17" ht="15" customHeight="1">
      <c r="J32" s="78">
        <v>1.3875891072522037</v>
      </c>
      <c r="K32" s="78">
        <v>70.173823816822008</v>
      </c>
      <c r="L32" s="78">
        <v>-24.031760146765322</v>
      </c>
      <c r="M32" s="78">
        <v>205.91455149182784</v>
      </c>
      <c r="N32" s="78">
        <v>1.1553614548316579E-3</v>
      </c>
      <c r="O32" s="78">
        <v>0.38581892931085687</v>
      </c>
      <c r="P32" s="78">
        <v>1.1321277289019223</v>
      </c>
      <c r="Q32" s="83">
        <v>5.0548456428129942</v>
      </c>
    </row>
    <row r="33" spans="10:17" ht="15" customHeight="1">
      <c r="J33" s="78">
        <v>1.4390026919921897</v>
      </c>
      <c r="K33" s="78">
        <v>70.88395776947381</v>
      </c>
      <c r="L33" s="78">
        <v>-24.268818200000965</v>
      </c>
      <c r="M33" s="78">
        <v>206.15160954506348</v>
      </c>
      <c r="N33" s="78">
        <v>0</v>
      </c>
      <c r="O33" s="78">
        <v>0.38972327863054901</v>
      </c>
      <c r="P33" s="78">
        <v>1.1334310850439879</v>
      </c>
      <c r="Q33" s="83">
        <v>4.9235920040323382</v>
      </c>
    </row>
    <row r="34" spans="10:17" ht="15" customHeight="1">
      <c r="J34" s="78">
        <v>1.4904162767321756</v>
      </c>
      <c r="K34" s="78">
        <v>71.534828856530766</v>
      </c>
      <c r="L34" s="78">
        <v>-24.772566563126759</v>
      </c>
      <c r="M34" s="78">
        <v>206.65535790818927</v>
      </c>
      <c r="N34" s="78">
        <v>0</v>
      </c>
      <c r="O34" s="78">
        <v>0.39330179797393289</v>
      </c>
      <c r="P34" s="78">
        <v>1.1362007168458779</v>
      </c>
      <c r="Q34" s="83">
        <v>4.7974175862173007</v>
      </c>
    </row>
    <row r="35" spans="10:17" ht="15" customHeight="1">
      <c r="J35" s="78">
        <v>1.5418298614721615</v>
      </c>
      <c r="K35" s="78">
        <v>72.333862874574081</v>
      </c>
      <c r="L35" s="78">
        <v>-25.128153642980266</v>
      </c>
      <c r="M35" s="78">
        <v>207.01094498804278</v>
      </c>
      <c r="N35" s="78">
        <v>5.7768072741614968E-4</v>
      </c>
      <c r="O35" s="78">
        <v>0.39769492396531603</v>
      </c>
      <c r="P35" s="78">
        <v>1.1381557510589768</v>
      </c>
      <c r="Q35" s="83">
        <v>4.6892674991262799</v>
      </c>
    </row>
    <row r="36" spans="10:17" ht="15" customHeight="1">
      <c r="J36" s="78">
        <v>1.5932434462121472</v>
      </c>
      <c r="K36" s="78">
        <v>72.925472743750262</v>
      </c>
      <c r="L36" s="78">
        <v>-25.246682669598101</v>
      </c>
      <c r="M36" s="78">
        <v>207.12947401466062</v>
      </c>
      <c r="N36" s="78">
        <v>5.7768072741614968E-4</v>
      </c>
      <c r="O36" s="78">
        <v>0.40094762239159981</v>
      </c>
      <c r="P36" s="78">
        <v>1.1388074291300097</v>
      </c>
      <c r="Q36" s="83">
        <v>4.5750783804139425</v>
      </c>
    </row>
    <row r="37" spans="10:17" ht="15" customHeight="1">
      <c r="J37" s="78">
        <v>1.6446570309521333</v>
      </c>
      <c r="K37" s="78">
        <v>73.51708426064053</v>
      </c>
      <c r="L37" s="78">
        <v>-25.602269749451608</v>
      </c>
      <c r="M37" s="78">
        <v>207.48506109451412</v>
      </c>
      <c r="N37" s="78">
        <v>1.7330421822471661E-3</v>
      </c>
      <c r="O37" s="78">
        <v>0.40420032987709181</v>
      </c>
      <c r="P37" s="78">
        <v>1.1407624633431084</v>
      </c>
      <c r="Q37" s="83">
        <v>4.4680286885930665</v>
      </c>
    </row>
    <row r="38" spans="10:17" ht="15" customHeight="1">
      <c r="J38" s="78">
        <v>1.696070615692119</v>
      </c>
      <c r="K38" s="78">
        <v>73.960536141972597</v>
      </c>
      <c r="L38" s="78">
        <v>-25.839327802687251</v>
      </c>
      <c r="M38" s="78">
        <v>207.72211914774977</v>
      </c>
      <c r="N38" s="78">
        <v>1.7330421822471661E-3</v>
      </c>
      <c r="O38" s="78">
        <v>0.40663844883300099</v>
      </c>
      <c r="P38" s="78">
        <v>1.1420658194851743</v>
      </c>
      <c r="Q38" s="83">
        <v>4.3587336027909842</v>
      </c>
    </row>
    <row r="39" spans="10:17" ht="15" customHeight="1">
      <c r="J39" s="78">
        <v>1.7474842004321052</v>
      </c>
      <c r="K39" s="78">
        <v>74.759576750872213</v>
      </c>
      <c r="L39" s="78">
        <v>-26.224547139195238</v>
      </c>
      <c r="M39" s="78">
        <v>208.10733848425775</v>
      </c>
      <c r="N39" s="78">
        <v>5.7768072741614968E-4</v>
      </c>
      <c r="O39" s="78">
        <v>0.41103161106121694</v>
      </c>
      <c r="P39" s="78">
        <v>1.1441837732160314</v>
      </c>
      <c r="Q39" s="83">
        <v>4.2762183740292574</v>
      </c>
    </row>
    <row r="40" spans="10:17" ht="15" customHeight="1">
      <c r="J40" s="78">
        <v>1.7988977851720913</v>
      </c>
      <c r="K40" s="78">
        <v>75.143767414323506</v>
      </c>
      <c r="L40" s="78">
        <v>-26.04675359926847</v>
      </c>
      <c r="M40" s="78">
        <v>207.92954494433098</v>
      </c>
      <c r="N40" s="78">
        <v>1.1553614548316579E-3</v>
      </c>
      <c r="O40" s="78">
        <v>0.41314390910002602</v>
      </c>
      <c r="P40" s="78">
        <v>1.1432062561094818</v>
      </c>
      <c r="Q40" s="83">
        <v>4.1753584747674708</v>
      </c>
    </row>
    <row r="41" spans="10:17" ht="15" customHeight="1">
      <c r="J41" s="78">
        <v>1.850311369912077</v>
      </c>
      <c r="K41" s="78">
        <v>75.705753265415623</v>
      </c>
      <c r="L41" s="78">
        <v>-26.283811652504141</v>
      </c>
      <c r="M41" s="78">
        <v>208.16660299756666</v>
      </c>
      <c r="N41" s="78">
        <v>5.7768072741614968E-4</v>
      </c>
      <c r="O41" s="78">
        <v>0.41623373330459268</v>
      </c>
      <c r="P41" s="78">
        <v>1.1445096122515477</v>
      </c>
      <c r="Q41" s="83">
        <v>4.0897125860646444</v>
      </c>
    </row>
    <row r="42" spans="10:17" ht="15" customHeight="1">
      <c r="J42" s="78">
        <v>1.9017249546520627</v>
      </c>
      <c r="K42" s="78">
        <v>76.238108507567361</v>
      </c>
      <c r="L42" s="78">
        <v>-26.639398732357648</v>
      </c>
      <c r="M42" s="78">
        <v>208.52219007742016</v>
      </c>
      <c r="N42" s="78">
        <v>0</v>
      </c>
      <c r="O42" s="78">
        <v>0.41916064705060929</v>
      </c>
      <c r="P42" s="78">
        <v>1.1464646464646464</v>
      </c>
      <c r="Q42" s="83">
        <v>4.0071395199614148</v>
      </c>
    </row>
    <row r="43" spans="10:17" ht="15" customHeight="1">
      <c r="J43" s="78">
        <v>1.9531385393920488</v>
      </c>
      <c r="K43" s="78">
        <v>76.888994424051006</v>
      </c>
      <c r="L43" s="78">
        <v>-26.965353555556646</v>
      </c>
      <c r="M43" s="78">
        <v>208.84814490061916</v>
      </c>
      <c r="N43" s="78">
        <v>0</v>
      </c>
      <c r="O43" s="78">
        <v>0.42273924792686701</v>
      </c>
      <c r="P43" s="78">
        <v>1.1482567611599868</v>
      </c>
      <c r="Q43" s="83">
        <v>3.9349824185660438</v>
      </c>
    </row>
    <row r="44" spans="10:17" ht="15" customHeight="1">
      <c r="J44" s="78">
        <v>2.0045521241320348</v>
      </c>
      <c r="K44" s="78">
        <v>77.362088448321956</v>
      </c>
      <c r="L44" s="78">
        <v>-27.113514838828962</v>
      </c>
      <c r="M44" s="78">
        <v>208.99630618389148</v>
      </c>
      <c r="N44" s="78">
        <v>5.7768072741614968E-4</v>
      </c>
      <c r="O44" s="78">
        <v>0.42534034075578347</v>
      </c>
      <c r="P44" s="78">
        <v>1.149071358748778</v>
      </c>
      <c r="Q44" s="83">
        <v>3.8576573404430086</v>
      </c>
    </row>
    <row r="45" spans="10:17" ht="15" customHeight="1">
      <c r="J45" s="78">
        <v>2.0559657088720202</v>
      </c>
      <c r="K45" s="78">
        <v>77.716655093689198</v>
      </c>
      <c r="L45" s="78">
        <v>-27.320940635410153</v>
      </c>
      <c r="M45" s="78">
        <v>209.20373198047267</v>
      </c>
      <c r="N45" s="78">
        <v>1.1553614548316579E-3</v>
      </c>
      <c r="O45" s="78">
        <v>0.42728976457287549</v>
      </c>
      <c r="P45" s="78">
        <v>1.1502117953730855</v>
      </c>
      <c r="Q45" s="83">
        <v>3.7784345560691728</v>
      </c>
    </row>
    <row r="46" spans="10:17" ht="15" customHeight="1">
      <c r="J46" s="78">
        <v>2.1073792936120066</v>
      </c>
      <c r="K46" s="78">
        <v>78.308281440006155</v>
      </c>
      <c r="L46" s="78">
        <v>-27.380205148719085</v>
      </c>
      <c r="M46" s="78">
        <v>209.2629964937816</v>
      </c>
      <c r="N46" s="78">
        <v>5.7768072741614968E-4</v>
      </c>
      <c r="O46" s="78">
        <v>0.43054255359124138</v>
      </c>
      <c r="P46" s="78">
        <v>1.1505376344086022</v>
      </c>
      <c r="Q46" s="83">
        <v>3.714326385788302</v>
      </c>
    </row>
    <row r="47" spans="10:17" ht="15" customHeight="1">
      <c r="J47" s="78">
        <v>2.1587928783519925</v>
      </c>
      <c r="K47" s="78">
        <v>78.811012664073814</v>
      </c>
      <c r="L47" s="78">
        <v>-27.646895458609151</v>
      </c>
      <c r="M47" s="78">
        <v>209.52968680367167</v>
      </c>
      <c r="N47" s="78">
        <v>1.1553614548316579E-3</v>
      </c>
      <c r="O47" s="78">
        <v>0.43330659311554082</v>
      </c>
      <c r="P47" s="78">
        <v>1.1520039100684258</v>
      </c>
      <c r="Q47" s="83">
        <v>3.6491539862534599</v>
      </c>
    </row>
    <row r="48" spans="10:17" ht="15" customHeight="1">
      <c r="J48" s="78">
        <v>2.2102064630919784</v>
      </c>
      <c r="K48" s="78">
        <v>79.224848765892204</v>
      </c>
      <c r="L48" s="78">
        <v>-27.291308378755701</v>
      </c>
      <c r="M48" s="78">
        <v>209.17409972381822</v>
      </c>
      <c r="N48" s="78">
        <v>1.1553614548316579E-3</v>
      </c>
      <c r="O48" s="78">
        <v>0.43558188314577395</v>
      </c>
      <c r="P48" s="78">
        <v>1.1500488758553273</v>
      </c>
      <c r="Q48" s="83">
        <v>3.5829916254235639</v>
      </c>
    </row>
    <row r="49" spans="10:17" ht="15" customHeight="1">
      <c r="J49" s="78">
        <v>2.2616200478319639</v>
      </c>
      <c r="K49" s="78">
        <v>79.638686515424624</v>
      </c>
      <c r="L49" s="78">
        <v>-27.706159971918112</v>
      </c>
      <c r="M49" s="78">
        <v>209.58895131698063</v>
      </c>
      <c r="N49" s="78">
        <v>0</v>
      </c>
      <c r="O49" s="78">
        <v>0.43785718223521503</v>
      </c>
      <c r="P49" s="78">
        <v>1.1523297491039426</v>
      </c>
      <c r="Q49" s="83">
        <v>3.519837485655458</v>
      </c>
    </row>
    <row r="50" spans="10:17" ht="15" customHeight="1">
      <c r="J50" s="78">
        <v>2.3124559518445347</v>
      </c>
      <c r="K50" s="78">
        <v>80.082169533160624</v>
      </c>
      <c r="L50" s="78">
        <v>-27.735792228572564</v>
      </c>
      <c r="M50" s="78">
        <v>209.61858357363508</v>
      </c>
      <c r="N50" s="78">
        <v>1.1553614548316579E-3</v>
      </c>
      <c r="O50" s="78">
        <v>0.44029547238051325</v>
      </c>
      <c r="P50" s="78">
        <v>1.1524926686217007</v>
      </c>
      <c r="Q50" s="83">
        <v>3.4616371040742746</v>
      </c>
    </row>
    <row r="51" spans="10:17" ht="15" customHeight="1">
      <c r="J51" s="78">
        <v>2.3638695365845201</v>
      </c>
      <c r="K51" s="78">
        <v>80.347849276335253</v>
      </c>
      <c r="L51" s="78">
        <v>-27.854321255190399</v>
      </c>
      <c r="M51" s="78">
        <v>209.73711260025291</v>
      </c>
      <c r="N51" s="78">
        <v>5.7768072741614968E-4</v>
      </c>
      <c r="O51" s="78">
        <v>0.44175619189779064</v>
      </c>
      <c r="P51" s="78">
        <v>1.1531443466927338</v>
      </c>
      <c r="Q51" s="83">
        <v>3.3975865310926965</v>
      </c>
    </row>
    <row r="52" spans="10:17" ht="15" customHeight="1">
      <c r="J52" s="78">
        <v>2.4158608020519221</v>
      </c>
      <c r="K52" s="78">
        <v>80.880209650306412</v>
      </c>
      <c r="L52" s="78">
        <v>-27.913585768499331</v>
      </c>
      <c r="M52" s="78">
        <v>209.79637711356185</v>
      </c>
      <c r="N52" s="78">
        <v>1.7330421822471661E-3</v>
      </c>
      <c r="O52" s="78">
        <v>0.44468313385878783</v>
      </c>
      <c r="P52" s="78">
        <v>1.1534701857282503</v>
      </c>
      <c r="Q52" s="83">
        <v>3.3465037924744045</v>
      </c>
    </row>
    <row r="53" spans="10:17" ht="15" customHeight="1">
      <c r="J53" s="78">
        <v>2.467274386791908</v>
      </c>
      <c r="K53" s="78">
        <v>81.26442173404071</v>
      </c>
      <c r="L53" s="78">
        <v>-28.180276078389426</v>
      </c>
      <c r="M53" s="78">
        <v>210.06306742345194</v>
      </c>
      <c r="N53" s="78">
        <v>5.7768072741614968E-4</v>
      </c>
      <c r="O53" s="78">
        <v>0.44679554966730367</v>
      </c>
      <c r="P53" s="78">
        <v>1.1549364613880742</v>
      </c>
      <c r="Q53" s="83">
        <v>3.2923409686478271</v>
      </c>
    </row>
    <row r="54" spans="10:17" ht="15" customHeight="1">
      <c r="J54" s="78">
        <v>2.5186879715318939</v>
      </c>
      <c r="K54" s="78">
        <v>81.737532235452463</v>
      </c>
      <c r="L54" s="78">
        <v>-28.506230901588481</v>
      </c>
      <c r="M54" s="78">
        <v>210.389022246651</v>
      </c>
      <c r="N54" s="78">
        <v>5.7768072741614968E-4</v>
      </c>
      <c r="O54" s="78">
        <v>0.44939673308830241</v>
      </c>
      <c r="P54" s="78">
        <v>1.1567285760834147</v>
      </c>
      <c r="Q54" s="83">
        <v>3.2439189320073969</v>
      </c>
    </row>
    <row r="55" spans="10:17" ht="15" customHeight="1">
      <c r="J55" s="78">
        <v>2.5701015562718794</v>
      </c>
      <c r="K55" s="78">
        <v>82.03285084465152</v>
      </c>
      <c r="L55" s="78">
        <v>-28.180276078389426</v>
      </c>
      <c r="M55" s="78">
        <v>210.06306742345194</v>
      </c>
      <c r="N55" s="78">
        <v>5.7768072741614968E-4</v>
      </c>
      <c r="O55" s="78">
        <v>0.4510204084619599</v>
      </c>
      <c r="P55" s="78">
        <v>1.1549364613880742</v>
      </c>
      <c r="Q55" s="83">
        <v>3.1905165130852478</v>
      </c>
    </row>
    <row r="56" spans="10:17" ht="15" customHeight="1">
      <c r="J56" s="78">
        <v>2.6215151410118653</v>
      </c>
      <c r="K56" s="78">
        <v>82.446700128182499</v>
      </c>
      <c r="L56" s="78">
        <v>-28.358069618316165</v>
      </c>
      <c r="M56" s="78">
        <v>210.24086096337868</v>
      </c>
      <c r="N56" s="78">
        <v>1.1553614548316579E-3</v>
      </c>
      <c r="O56" s="78">
        <v>0.45329577096585855</v>
      </c>
      <c r="P56" s="78">
        <v>1.1559139784946235</v>
      </c>
      <c r="Q56" s="83">
        <v>3.1437302249429662</v>
      </c>
    </row>
    <row r="57" spans="10:17" ht="15" customHeight="1">
      <c r="J57" s="78">
        <v>2.6729287257518513</v>
      </c>
      <c r="K57" s="78">
        <v>82.742022032809729</v>
      </c>
      <c r="L57" s="78">
        <v>-28.417334131625097</v>
      </c>
      <c r="M57" s="78">
        <v>210.30012547668761</v>
      </c>
      <c r="N57" s="78">
        <v>5.7768072741614968E-4</v>
      </c>
      <c r="O57" s="78">
        <v>0.45491946445793258</v>
      </c>
      <c r="P57" s="78">
        <v>1.15623981753014</v>
      </c>
      <c r="Q57" s="83">
        <v>3.0943094347122506</v>
      </c>
    </row>
    <row r="58" spans="10:17" ht="15" customHeight="1">
      <c r="J58" s="78">
        <v>2.7243423104918372</v>
      </c>
      <c r="K58" s="78">
        <v>83.066977841805496</v>
      </c>
      <c r="L58" s="78">
        <v>-28.180276078389426</v>
      </c>
      <c r="M58" s="78">
        <v>210.06306742345194</v>
      </c>
      <c r="N58" s="78">
        <v>0</v>
      </c>
      <c r="O58" s="78">
        <v>0.45670608652697298</v>
      </c>
      <c r="P58" s="78">
        <v>1.1549364613880742</v>
      </c>
      <c r="Q58" s="83">
        <v>3.0478417206712476</v>
      </c>
    </row>
    <row r="59" spans="10:17" ht="15" customHeight="1">
      <c r="J59" s="78">
        <v>2.7757558952318231</v>
      </c>
      <c r="K59" s="78">
        <v>83.56972883844206</v>
      </c>
      <c r="L59" s="78">
        <v>-28.832185724787479</v>
      </c>
      <c r="M59" s="78">
        <v>210.71497706984999</v>
      </c>
      <c r="N59" s="78">
        <v>5.7768072741614968E-4</v>
      </c>
      <c r="O59" s="78">
        <v>0.45947023476177085</v>
      </c>
      <c r="P59" s="78">
        <v>1.1585206907787551</v>
      </c>
      <c r="Q59" s="83">
        <v>3.0095006802725019</v>
      </c>
    </row>
    <row r="60" spans="10:17" ht="15" customHeight="1">
      <c r="J60" s="78">
        <v>2.8271694799718095</v>
      </c>
      <c r="K60" s="78">
        <v>83.86505568621152</v>
      </c>
      <c r="L60" s="78">
        <v>-28.7136566981697</v>
      </c>
      <c r="M60" s="78">
        <v>210.59644804323221</v>
      </c>
      <c r="N60" s="78">
        <v>1.1553614548316579E-3</v>
      </c>
      <c r="O60" s="78">
        <v>0.46109395543146947</v>
      </c>
      <c r="P60" s="78">
        <v>1.1578690127077225</v>
      </c>
      <c r="Q60" s="83">
        <v>2.9652173310215266</v>
      </c>
    </row>
    <row r="61" spans="10:17" ht="15" customHeight="1">
      <c r="J61" s="78">
        <v>2.8780053839843793</v>
      </c>
      <c r="K61" s="78">
        <v>84.130763085225553</v>
      </c>
      <c r="L61" s="78">
        <v>-28.506230901588481</v>
      </c>
      <c r="M61" s="78">
        <v>210.389022246651</v>
      </c>
      <c r="N61" s="78">
        <v>0</v>
      </c>
      <c r="O61" s="78">
        <v>0.4625548270018312</v>
      </c>
      <c r="P61" s="78">
        <v>1.1567285760834147</v>
      </c>
      <c r="Q61" s="83">
        <v>2.9220732964739216</v>
      </c>
    </row>
    <row r="62" spans="10:17" ht="15" customHeight="1">
      <c r="J62" s="78">
        <v>2.9299966494517808</v>
      </c>
      <c r="K62" s="78">
        <v>84.544611094856052</v>
      </c>
      <c r="L62" s="78">
        <v>-28.535863158242904</v>
      </c>
      <c r="M62" s="78">
        <v>210.41865450330542</v>
      </c>
      <c r="N62" s="78">
        <v>0</v>
      </c>
      <c r="O62" s="78">
        <v>0.46483018250176611</v>
      </c>
      <c r="P62" s="78">
        <v>1.1568914956011729</v>
      </c>
      <c r="Q62" s="83">
        <v>2.8843471483809489</v>
      </c>
    </row>
    <row r="63" spans="10:17" ht="15" customHeight="1">
      <c r="J63" s="78">
        <v>2.9814102341917668</v>
      </c>
      <c r="K63" s="78">
        <v>84.869575142422192</v>
      </c>
      <c r="L63" s="78">
        <v>-29.039611521368698</v>
      </c>
      <c r="M63" s="78">
        <v>210.92240286643121</v>
      </c>
      <c r="N63" s="78">
        <v>1.1553614548316579E-3</v>
      </c>
      <c r="O63" s="78">
        <v>0.46661684986684754</v>
      </c>
      <c r="P63" s="78">
        <v>1.1596611274030628</v>
      </c>
      <c r="Q63" s="83">
        <v>2.8455070651048548</v>
      </c>
    </row>
    <row r="64" spans="10:17" ht="15" customHeight="1">
      <c r="J64" s="78">
        <v>3.0328238189317527</v>
      </c>
      <c r="K64" s="78">
        <v>85.105644067739036</v>
      </c>
      <c r="L64" s="78">
        <v>-29.09887603467763</v>
      </c>
      <c r="M64" s="78">
        <v>210.98166737974014</v>
      </c>
      <c r="N64" s="78">
        <v>0</v>
      </c>
      <c r="O64" s="78">
        <v>0.4679147677378625</v>
      </c>
      <c r="P64" s="78">
        <v>1.1599869664385793</v>
      </c>
      <c r="Q64" s="83">
        <v>2.8050527448365816</v>
      </c>
    </row>
    <row r="65" spans="10:17" ht="15" customHeight="1">
      <c r="J65" s="78">
        <v>3.084237403671739</v>
      </c>
      <c r="K65" s="78">
        <v>85.489875924042238</v>
      </c>
      <c r="L65" s="78">
        <v>-29.009979264714275</v>
      </c>
      <c r="M65" s="78">
        <v>210.89277060977679</v>
      </c>
      <c r="N65" s="78">
        <v>1.1553614548316579E-3</v>
      </c>
      <c r="O65" s="78">
        <v>0.47002729225687678</v>
      </c>
      <c r="P65" s="78">
        <v>1.1594982078853047</v>
      </c>
      <c r="Q65" s="83">
        <v>2.7707510301759273</v>
      </c>
    </row>
    <row r="66" spans="10:17" ht="15" customHeight="1">
      <c r="J66" s="78">
        <v>3.1356509884117241</v>
      </c>
      <c r="K66" s="78">
        <v>85.814844914750608</v>
      </c>
      <c r="L66" s="78">
        <v>-29.039611521368698</v>
      </c>
      <c r="M66" s="78">
        <v>210.92240286643121</v>
      </c>
      <c r="N66" s="78">
        <v>5.7768072741614968E-4</v>
      </c>
      <c r="O66" s="78">
        <v>0.47181398679958286</v>
      </c>
      <c r="P66" s="78">
        <v>1.1596611274030628</v>
      </c>
      <c r="Q66" s="83">
        <v>2.7356841990078928</v>
      </c>
    </row>
    <row r="67" spans="10:17" ht="15" customHeight="1">
      <c r="J67" s="78">
        <v>3.18706457315171</v>
      </c>
      <c r="K67" s="78">
        <v>86.080551039864162</v>
      </c>
      <c r="L67" s="78">
        <v>-29.09887603467763</v>
      </c>
      <c r="M67" s="78">
        <v>210.98166737974014</v>
      </c>
      <c r="N67" s="78">
        <v>5.7768072741614968E-4</v>
      </c>
      <c r="O67" s="78">
        <v>0.4732748513659808</v>
      </c>
      <c r="P67" s="78">
        <v>1.1599869664385793</v>
      </c>
      <c r="Q67" s="83">
        <v>2.6998892798094527</v>
      </c>
    </row>
    <row r="68" spans="10:17" ht="15" customHeight="1">
      <c r="J68" s="78">
        <v>3.2384781578916964</v>
      </c>
      <c r="K68" s="78">
        <v>86.405523326000676</v>
      </c>
      <c r="L68" s="78">
        <v>-29.09887603467763</v>
      </c>
      <c r="M68" s="78">
        <v>210.98166737974014</v>
      </c>
      <c r="N68" s="78">
        <v>1.1553614548316579E-3</v>
      </c>
      <c r="O68" s="78">
        <v>0.47506156402710326</v>
      </c>
      <c r="P68" s="78">
        <v>1.1599869664385793</v>
      </c>
      <c r="Q68" s="83">
        <v>2.6670609720429352</v>
      </c>
    </row>
    <row r="69" spans="10:17" ht="15" customHeight="1">
      <c r="J69" s="78">
        <v>3.2898917426316823</v>
      </c>
      <c r="K69" s="78">
        <v>86.700865003196824</v>
      </c>
      <c r="L69" s="78">
        <v>-29.217405061295437</v>
      </c>
      <c r="M69" s="78">
        <v>211.10019640635795</v>
      </c>
      <c r="N69" s="78">
        <v>1.1553614548316579E-3</v>
      </c>
      <c r="O69" s="78">
        <v>0.47668536622967578</v>
      </c>
      <c r="P69" s="78">
        <v>1.160638644509612</v>
      </c>
      <c r="Q69" s="83">
        <v>2.6343580729842682</v>
      </c>
    </row>
    <row r="70" spans="10:17" ht="15" customHeight="1">
      <c r="J70" s="78">
        <v>3.3413053273716677</v>
      </c>
      <c r="K70" s="78">
        <v>86.936943814798127</v>
      </c>
      <c r="L70" s="78">
        <v>-29.158140547986562</v>
      </c>
      <c r="M70" s="78">
        <v>211.04093189304908</v>
      </c>
      <c r="N70" s="78">
        <v>1.1553614548316579E-3</v>
      </c>
      <c r="O70" s="78">
        <v>0.47798333845593999</v>
      </c>
      <c r="P70" s="78">
        <v>1.1603128054740959</v>
      </c>
      <c r="Q70" s="83">
        <v>2.6008879468199284</v>
      </c>
    </row>
    <row r="71" spans="10:17" ht="15" customHeight="1">
      <c r="J71" s="78">
        <v>3.3927189121116546</v>
      </c>
      <c r="K71" s="78">
        <v>87.202656530767968</v>
      </c>
      <c r="L71" s="78">
        <v>-29.424830857876628</v>
      </c>
      <c r="M71" s="78">
        <v>211.30762220293914</v>
      </c>
      <c r="N71" s="78">
        <v>5.7768072741614968E-4</v>
      </c>
      <c r="O71" s="78">
        <v>0.47944423925917068</v>
      </c>
      <c r="P71" s="78">
        <v>1.1617790811339195</v>
      </c>
      <c r="Q71" s="83">
        <v>2.5693056955247981</v>
      </c>
    </row>
    <row r="72" spans="10:17" ht="15" customHeight="1">
      <c r="J72" s="78">
        <v>3.4441324968516396</v>
      </c>
      <c r="K72" s="78">
        <v>87.468370894451908</v>
      </c>
      <c r="L72" s="78">
        <v>-29.810050194384644</v>
      </c>
      <c r="M72" s="78">
        <v>211.69284153944716</v>
      </c>
      <c r="N72" s="78">
        <v>5.7768072741614968E-4</v>
      </c>
      <c r="O72" s="78">
        <v>0.4809051491216097</v>
      </c>
      <c r="P72" s="78">
        <v>1.1638970348647768</v>
      </c>
      <c r="Q72" s="83">
        <v>2.5386664039679663</v>
      </c>
    </row>
    <row r="73" spans="10:17" ht="15" customHeight="1">
      <c r="J73" s="78">
        <v>3.4955460815916259</v>
      </c>
      <c r="K73" s="78">
        <v>87.793351419158796</v>
      </c>
      <c r="L73" s="78">
        <v>-29.484095371185617</v>
      </c>
      <c r="M73" s="78">
        <v>211.36688671624813</v>
      </c>
      <c r="N73" s="78">
        <v>5.7768072741614968E-4</v>
      </c>
      <c r="O73" s="78">
        <v>0.48269190707877313</v>
      </c>
      <c r="P73" s="78">
        <v>1.1621049201694365</v>
      </c>
      <c r="Q73" s="83">
        <v>2.5106238934336349</v>
      </c>
    </row>
    <row r="74" spans="10:17" ht="15" customHeight="1">
      <c r="J74" s="78">
        <v>3.5469596663316114</v>
      </c>
      <c r="K74" s="78">
        <v>88.118333591579812</v>
      </c>
      <c r="L74" s="78">
        <v>-29.721153424421232</v>
      </c>
      <c r="M74" s="78">
        <v>211.60394476948375</v>
      </c>
      <c r="N74" s="78">
        <v>1.1553614548316579E-3</v>
      </c>
      <c r="O74" s="78">
        <v>0.48447867409514506</v>
      </c>
      <c r="P74" s="78">
        <v>1.1634082763115019</v>
      </c>
      <c r="Q74" s="83">
        <v>2.4833943881280192</v>
      </c>
    </row>
    <row r="75" spans="10:17" ht="15" customHeight="1">
      <c r="J75" s="78">
        <v>3.5983732510715973</v>
      </c>
      <c r="K75" s="78">
        <v>88.265523871788133</v>
      </c>
      <c r="L75" s="78">
        <v>-29.543359884494492</v>
      </c>
      <c r="M75" s="78">
        <v>211.42615122955701</v>
      </c>
      <c r="N75" s="78">
        <v>5.7768072741614968E-4</v>
      </c>
      <c r="O75" s="78">
        <v>0.48528793306417572</v>
      </c>
      <c r="P75" s="78">
        <v>1.1624307592049525</v>
      </c>
      <c r="Q75" s="83">
        <v>2.4520020972470342</v>
      </c>
    </row>
    <row r="76" spans="10:17" ht="15" customHeight="1">
      <c r="J76" s="78">
        <v>3.6497868358115837</v>
      </c>
      <c r="K76" s="78">
        <v>88.649773852946154</v>
      </c>
      <c r="L76" s="78">
        <v>-30.254534044201478</v>
      </c>
      <c r="M76" s="78">
        <v>212.13732538926399</v>
      </c>
      <c r="N76" s="78">
        <v>5.7768072741614968E-4</v>
      </c>
      <c r="O76" s="78">
        <v>0.48740055723448017</v>
      </c>
      <c r="P76" s="78">
        <v>1.16634082763115</v>
      </c>
      <c r="Q76" s="83">
        <v>2.4279894018661152</v>
      </c>
    </row>
    <row r="77" spans="10:17" ht="15" customHeight="1">
      <c r="J77" s="78">
        <v>3.7012004205515696</v>
      </c>
      <c r="K77" s="78">
        <v>88.737702915273729</v>
      </c>
      <c r="L77" s="78">
        <v>-29.484095371185617</v>
      </c>
      <c r="M77" s="78">
        <v>211.36688671624813</v>
      </c>
      <c r="N77" s="78">
        <v>5.7768072741614968E-4</v>
      </c>
      <c r="O77" s="78">
        <v>0.48788399528641085</v>
      </c>
      <c r="P77" s="78">
        <v>1.1621049201694365</v>
      </c>
      <c r="Q77" s="83">
        <v>2.3966377539025121</v>
      </c>
    </row>
    <row r="78" spans="10:17" ht="15" customHeight="1">
      <c r="J78" s="78">
        <v>3.7526140052915555</v>
      </c>
      <c r="K78" s="78">
        <v>89.121956191859937</v>
      </c>
      <c r="L78" s="78">
        <v>-30.076740504274767</v>
      </c>
      <c r="M78" s="78">
        <v>211.95953184933728</v>
      </c>
      <c r="N78" s="78">
        <v>0</v>
      </c>
      <c r="O78" s="78">
        <v>0.4899966375751319</v>
      </c>
      <c r="P78" s="78">
        <v>1.1653633105246008</v>
      </c>
      <c r="Q78" s="83">
        <v>2.3740416620920759</v>
      </c>
    </row>
    <row r="79" spans="10:17" ht="15" customHeight="1">
      <c r="J79" s="78">
        <v>3.8040275900315419</v>
      </c>
      <c r="K79" s="78">
        <v>89.446946602851327</v>
      </c>
      <c r="L79" s="78">
        <v>-29.750785681075683</v>
      </c>
      <c r="M79" s="78">
        <v>211.6335770261382</v>
      </c>
      <c r="N79" s="78">
        <v>1.1553614548316579E-3</v>
      </c>
      <c r="O79" s="78">
        <v>0.49178344988754485</v>
      </c>
      <c r="P79" s="78">
        <v>1.1635711958292601</v>
      </c>
      <c r="Q79" s="83">
        <v>2.3504984703166594</v>
      </c>
    </row>
    <row r="80" spans="10:17" ht="15" customHeight="1">
      <c r="J80" s="78">
        <v>3.8548634940441113</v>
      </c>
      <c r="K80" s="78">
        <v>89.505259160092393</v>
      </c>
      <c r="L80" s="78">
        <v>-29.780417937730192</v>
      </c>
      <c r="M80" s="78">
        <v>211.66320928279271</v>
      </c>
      <c r="N80" s="78">
        <v>5.7768072741614968E-4</v>
      </c>
      <c r="O80" s="78">
        <v>0.4921040550245665</v>
      </c>
      <c r="P80" s="78">
        <v>1.1637341153470186</v>
      </c>
      <c r="Q80" s="83">
        <v>2.3210140387485354</v>
      </c>
    </row>
    <row r="81" spans="10:17" ht="15" customHeight="1">
      <c r="J81" s="78">
        <v>3.9068547595115133</v>
      </c>
      <c r="K81" s="78">
        <v>89.830242058086171</v>
      </c>
      <c r="L81" s="78">
        <v>-30.017475990965806</v>
      </c>
      <c r="M81" s="78">
        <v>211.90026733602832</v>
      </c>
      <c r="N81" s="78">
        <v>5.7768072741614968E-4</v>
      </c>
      <c r="O81" s="78">
        <v>0.49389082603017104</v>
      </c>
      <c r="P81" s="78">
        <v>1.1650374714890841</v>
      </c>
      <c r="Q81" s="83">
        <v>2.2984449460459984</v>
      </c>
    </row>
    <row r="82" spans="10:17" ht="15" customHeight="1">
      <c r="J82" s="78">
        <v>3.9582683442514992</v>
      </c>
      <c r="K82" s="78">
        <v>90.036708385601955</v>
      </c>
      <c r="L82" s="78">
        <v>-30.13600501758367</v>
      </c>
      <c r="M82" s="78">
        <v>212.01879636264619</v>
      </c>
      <c r="N82" s="78">
        <v>5.7768072741614968E-4</v>
      </c>
      <c r="O82" s="78">
        <v>0.4950259874491757</v>
      </c>
      <c r="P82" s="78">
        <v>1.1656891495601174</v>
      </c>
      <c r="Q82" s="83">
        <v>2.2738067323701157</v>
      </c>
    </row>
    <row r="83" spans="10:17" ht="15" customHeight="1">
      <c r="J83" s="78">
        <v>4.0096819289914851</v>
      </c>
      <c r="K83" s="78">
        <v>90.302440874140686</v>
      </c>
      <c r="L83" s="78">
        <v>-30.224901787546997</v>
      </c>
      <c r="M83" s="78">
        <v>212.10769313260951</v>
      </c>
      <c r="N83" s="78">
        <v>5.7768072741614968E-4</v>
      </c>
      <c r="O83" s="78">
        <v>0.49648699696290471</v>
      </c>
      <c r="P83" s="78">
        <v>1.1661779081133916</v>
      </c>
      <c r="Q83" s="83">
        <v>2.2512784351478201</v>
      </c>
    </row>
    <row r="84" spans="10:17" ht="15" customHeight="1">
      <c r="J84" s="78">
        <v>4.0605178330040559</v>
      </c>
      <c r="K84" s="78">
        <v>90.390392204837994</v>
      </c>
      <c r="L84" s="78">
        <v>-29.602624397803424</v>
      </c>
      <c r="M84" s="78">
        <v>211.48541574286594</v>
      </c>
      <c r="N84" s="78">
        <v>-5.7768072741550837E-4</v>
      </c>
      <c r="O84" s="78">
        <v>0.49697055744736224</v>
      </c>
      <c r="P84" s="78">
        <v>1.1627565982404693</v>
      </c>
      <c r="Q84" s="83">
        <v>2.2252594282846356</v>
      </c>
    </row>
    <row r="85" spans="10:17" ht="15" customHeight="1">
      <c r="J85" s="78">
        <v>4.1125090984714561</v>
      </c>
      <c r="K85" s="78">
        <v>90.715381767742628</v>
      </c>
      <c r="L85" s="78">
        <v>-30.224901787546997</v>
      </c>
      <c r="M85" s="78">
        <v>212.10769313260951</v>
      </c>
      <c r="N85" s="78">
        <v>5.7768072741614968E-4</v>
      </c>
      <c r="O85" s="78">
        <v>0.49875736509695495</v>
      </c>
      <c r="P85" s="78">
        <v>1.1661779081133916</v>
      </c>
      <c r="Q85" s="83">
        <v>2.2050296621279504</v>
      </c>
    </row>
    <row r="86" spans="10:17" ht="15" customHeight="1">
      <c r="J86" s="78">
        <v>4.1639226832114424</v>
      </c>
      <c r="K86" s="78">
        <v>90.951486942769179</v>
      </c>
      <c r="L86" s="78">
        <v>-29.869314707693519</v>
      </c>
      <c r="M86" s="78">
        <v>211.75210605275603</v>
      </c>
      <c r="N86" s="78">
        <v>0</v>
      </c>
      <c r="O86" s="78">
        <v>0.50005548227055074</v>
      </c>
      <c r="P86" s="78">
        <v>1.1642228739002931</v>
      </c>
      <c r="Q86" s="83">
        <v>2.1834735553713962</v>
      </c>
    </row>
    <row r="87" spans="10:17" ht="15" customHeight="1">
      <c r="J87" s="78">
        <v>4.2153362679514288</v>
      </c>
      <c r="K87" s="78">
        <v>91.098696995546405</v>
      </c>
      <c r="L87" s="78">
        <v>-29.721153424421232</v>
      </c>
      <c r="M87" s="78">
        <v>211.60394476948375</v>
      </c>
      <c r="N87" s="78">
        <v>0</v>
      </c>
      <c r="O87" s="78">
        <v>0.50086484995007974</v>
      </c>
      <c r="P87" s="78">
        <v>1.1634082763115019</v>
      </c>
      <c r="Q87" s="83">
        <v>2.1603344292878002</v>
      </c>
    </row>
    <row r="88" spans="10:17" ht="15" customHeight="1">
      <c r="J88" s="78">
        <v>4.2667498526914143</v>
      </c>
      <c r="K88" s="78">
        <v>91.453334492618936</v>
      </c>
      <c r="L88" s="78">
        <v>-30.7582824073273</v>
      </c>
      <c r="M88" s="78">
        <v>212.64107375238981</v>
      </c>
      <c r="N88" s="78">
        <v>1.1553614548316579E-3</v>
      </c>
      <c r="O88" s="78">
        <v>0.50281466331312474</v>
      </c>
      <c r="P88" s="78">
        <v>1.1691104594330402</v>
      </c>
      <c r="Q88" s="83">
        <v>2.1426144339400643</v>
      </c>
    </row>
    <row r="89" spans="10:17" ht="15" customHeight="1">
      <c r="J89" s="78">
        <v>4.3181634374314006</v>
      </c>
      <c r="K89" s="78">
        <v>91.600547840824319</v>
      </c>
      <c r="L89" s="78">
        <v>-30.521224354091572</v>
      </c>
      <c r="M89" s="78">
        <v>212.40401569915409</v>
      </c>
      <c r="N89" s="78">
        <v>5.7768072741614968E-4</v>
      </c>
      <c r="O89" s="78">
        <v>0.50362404911107028</v>
      </c>
      <c r="P89" s="78">
        <v>1.167807103290974</v>
      </c>
      <c r="Q89" s="83">
        <v>2.1205128726335456</v>
      </c>
    </row>
    <row r="90" spans="10:17" ht="15" customHeight="1">
      <c r="J90" s="78">
        <v>4.3695770221713861</v>
      </c>
      <c r="K90" s="78">
        <v>91.747762836743789</v>
      </c>
      <c r="L90" s="78">
        <v>-30.72865015067282</v>
      </c>
      <c r="M90" s="78">
        <v>212.61144149573533</v>
      </c>
      <c r="N90" s="78">
        <v>1.1553614548316579E-3</v>
      </c>
      <c r="O90" s="78">
        <v>0.50443344396822409</v>
      </c>
      <c r="P90" s="78">
        <v>1.1689475399152818</v>
      </c>
      <c r="Q90" s="83">
        <v>2.098931454523981</v>
      </c>
    </row>
    <row r="91" spans="10:17" ht="15" customHeight="1">
      <c r="J91" s="78">
        <v>4.4209906069113725</v>
      </c>
      <c r="K91" s="78">
        <v>91.924611737031796</v>
      </c>
      <c r="L91" s="78">
        <v>-30.461959840782697</v>
      </c>
      <c r="M91" s="78">
        <v>212.34475118584521</v>
      </c>
      <c r="N91" s="78">
        <v>1.1553614548316579E-3</v>
      </c>
      <c r="O91" s="78">
        <v>0.50540576740234433</v>
      </c>
      <c r="P91" s="78">
        <v>1.1674812642554577</v>
      </c>
      <c r="Q91" s="83">
        <v>2.0785222955380434</v>
      </c>
    </row>
    <row r="92" spans="10:17" ht="15" customHeight="1">
      <c r="J92" s="78">
        <v>4.4724041916513579</v>
      </c>
      <c r="K92" s="78">
        <v>92.279255824960629</v>
      </c>
      <c r="L92" s="78">
        <v>-30.817546920636147</v>
      </c>
      <c r="M92" s="78">
        <v>212.70033826569866</v>
      </c>
      <c r="N92" s="78">
        <v>1.1553614548316579E-3</v>
      </c>
      <c r="O92" s="78">
        <v>0.5073556170022222</v>
      </c>
      <c r="P92" s="78">
        <v>1.1694362984685562</v>
      </c>
      <c r="Q92" s="83">
        <v>2.0625577560368966</v>
      </c>
    </row>
    <row r="93" spans="10:17" ht="15" customHeight="1">
      <c r="J93" s="78">
        <v>4.5238177763913434</v>
      </c>
      <c r="K93" s="78">
        <v>92.574637047294615</v>
      </c>
      <c r="L93" s="78">
        <v>-30.639753380709408</v>
      </c>
      <c r="M93" s="78">
        <v>212.52254472577192</v>
      </c>
      <c r="N93" s="78">
        <v>1.1553614548316579E-3</v>
      </c>
      <c r="O93" s="78">
        <v>0.50897963662579171</v>
      </c>
      <c r="P93" s="78">
        <v>1.1684587813620069</v>
      </c>
      <c r="Q93" s="83">
        <v>2.045646074461883</v>
      </c>
    </row>
    <row r="94" spans="10:17" ht="15" customHeight="1">
      <c r="J94" s="78">
        <v>4.5746536804039142</v>
      </c>
      <c r="K94" s="78">
        <v>92.514443386723968</v>
      </c>
      <c r="L94" s="78">
        <v>-30.343430814164833</v>
      </c>
      <c r="M94" s="78">
        <v>212.22622215922735</v>
      </c>
      <c r="N94" s="78">
        <v>0</v>
      </c>
      <c r="O94" s="78">
        <v>0.50864868909565153</v>
      </c>
      <c r="P94" s="78">
        <v>1.1668295861844247</v>
      </c>
      <c r="Q94" s="83">
        <v>2.0215979953661143</v>
      </c>
    </row>
    <row r="95" spans="10:17" ht="15" customHeight="1">
      <c r="J95" s="78">
        <v>4.6266449458713161</v>
      </c>
      <c r="K95" s="78">
        <v>92.306068992125574</v>
      </c>
      <c r="L95" s="78">
        <v>-31.084237230526327</v>
      </c>
      <c r="M95" s="78">
        <v>212.96702857558884</v>
      </c>
      <c r="N95" s="78">
        <v>5.7768072741614968E-4</v>
      </c>
      <c r="O95" s="78">
        <v>0.5075030370355671</v>
      </c>
      <c r="P95" s="78">
        <v>1.1709025741283805</v>
      </c>
      <c r="Q95" s="83">
        <v>1.9943767845365101</v>
      </c>
    </row>
    <row r="96" spans="10:17" ht="15" customHeight="1">
      <c r="J96" s="78">
        <v>4.6780585306113016</v>
      </c>
      <c r="K96" s="78">
        <v>92.453293874329489</v>
      </c>
      <c r="L96" s="78">
        <v>-30.669385637363916</v>
      </c>
      <c r="M96" s="78">
        <v>212.55217698242643</v>
      </c>
      <c r="N96" s="78">
        <v>5.7768072741614968E-4</v>
      </c>
      <c r="O96" s="78">
        <v>0.50831248624796999</v>
      </c>
      <c r="P96" s="78">
        <v>1.1686217008797655</v>
      </c>
      <c r="Q96" s="83">
        <v>1.975604986146172</v>
      </c>
    </row>
    <row r="97" spans="10:17" ht="15" customHeight="1">
      <c r="J97" s="78">
        <v>4.7294721153512871</v>
      </c>
      <c r="K97" s="78">
        <v>92.481991377629654</v>
      </c>
      <c r="L97" s="78">
        <v>-29.928579221002423</v>
      </c>
      <c r="M97" s="78">
        <v>211.81137056606494</v>
      </c>
      <c r="N97" s="78">
        <v>1.1553614548316579E-3</v>
      </c>
      <c r="O97" s="78">
        <v>0.50847026644854831</v>
      </c>
      <c r="P97" s="78">
        <v>1.1645487129358094</v>
      </c>
      <c r="Q97" s="83">
        <v>1.954735176232806</v>
      </c>
    </row>
    <row r="98" spans="10:17" ht="15" customHeight="1">
      <c r="J98" s="78">
        <v>4.7803080193638579</v>
      </c>
      <c r="K98" s="78">
        <v>92.74775905705981</v>
      </c>
      <c r="L98" s="78">
        <v>-29.869314707693519</v>
      </c>
      <c r="M98" s="78">
        <v>211.75210605275603</v>
      </c>
      <c r="N98" s="78">
        <v>0</v>
      </c>
      <c r="O98" s="78">
        <v>0.50993146944342616</v>
      </c>
      <c r="P98" s="78">
        <v>1.1642228739002931</v>
      </c>
      <c r="Q98" s="83">
        <v>1.9395072951943704</v>
      </c>
    </row>
    <row r="99" spans="10:17" ht="15" customHeight="1">
      <c r="J99" s="78">
        <v>4.8317216041038442</v>
      </c>
      <c r="K99" s="78">
        <v>92.835724350583391</v>
      </c>
      <c r="L99" s="78">
        <v>-29.454463114531109</v>
      </c>
      <c r="M99" s="78">
        <v>211.33725445959362</v>
      </c>
      <c r="N99" s="78">
        <v>1.1553614548316579E-3</v>
      </c>
      <c r="O99" s="78">
        <v>0.51041510669614842</v>
      </c>
      <c r="P99" s="78">
        <v>1.1619420006516779</v>
      </c>
      <c r="Q99" s="83">
        <v>1.9206898837678275</v>
      </c>
    </row>
    <row r="100" spans="10:17" ht="15" customHeight="1">
      <c r="J100" s="78">
        <v>4.8831351888438297</v>
      </c>
      <c r="K100" s="78">
        <v>93.01258806178447</v>
      </c>
      <c r="L100" s="78">
        <v>-29.30630183125885</v>
      </c>
      <c r="M100" s="78">
        <v>211.18909317632136</v>
      </c>
      <c r="N100" s="78">
        <v>5.7768072741614968E-4</v>
      </c>
      <c r="O100" s="78">
        <v>0.51138751156135387</v>
      </c>
      <c r="P100" s="78">
        <v>1.1611274030628869</v>
      </c>
      <c r="Q100" s="83">
        <v>1.9040892413847492</v>
      </c>
    </row>
    <row r="101" spans="10:17" ht="15" customHeight="1">
      <c r="J101" s="78">
        <v>4.9351264543112308</v>
      </c>
      <c r="K101" s="78">
        <v>93.396868797641474</v>
      </c>
      <c r="L101" s="78">
        <v>-30.224901787546997</v>
      </c>
      <c r="M101" s="78">
        <v>212.10769313260951</v>
      </c>
      <c r="N101" s="78">
        <v>0</v>
      </c>
      <c r="O101" s="78">
        <v>0.51350030482241593</v>
      </c>
      <c r="P101" s="78">
        <v>1.1661779081133916</v>
      </c>
      <c r="Q101" s="83">
        <v>1.8918164179429411</v>
      </c>
    </row>
    <row r="102" spans="10:17" ht="15" customHeight="1">
      <c r="J102" s="78">
        <v>4.9859623583238015</v>
      </c>
      <c r="K102" s="78">
        <v>93.455217197292171</v>
      </c>
      <c r="L102" s="78">
        <v>-29.987843734311355</v>
      </c>
      <c r="M102" s="78">
        <v>211.87063507937387</v>
      </c>
      <c r="N102" s="78">
        <v>5.7768072741614968E-4</v>
      </c>
      <c r="O102" s="78">
        <v>0.5138211070226637</v>
      </c>
      <c r="P102" s="78">
        <v>1.1648745519713259</v>
      </c>
      <c r="Q102" s="83">
        <v>1.8736980786185238</v>
      </c>
    </row>
    <row r="103" spans="10:17" ht="15" customHeight="1">
      <c r="J103" s="78">
        <v>5.0379536237912026</v>
      </c>
      <c r="K103" s="78">
        <v>93.869133522259105</v>
      </c>
      <c r="L103" s="78">
        <v>-30.343430814164833</v>
      </c>
      <c r="M103" s="78">
        <v>212.22622215922735</v>
      </c>
      <c r="N103" s="78">
        <v>1.1553614548316579E-3</v>
      </c>
      <c r="O103" s="78">
        <v>0.51609683812347829</v>
      </c>
      <c r="P103" s="78">
        <v>1.1668295861844247</v>
      </c>
      <c r="Q103" s="83">
        <v>1.8625776305362005</v>
      </c>
    </row>
    <row r="104" spans="10:17" ht="15" customHeight="1">
      <c r="J104" s="78">
        <v>5.089367208531189</v>
      </c>
      <c r="K104" s="78">
        <v>94.105268356139021</v>
      </c>
      <c r="L104" s="78">
        <v>-30.610121124054956</v>
      </c>
      <c r="M104" s="78">
        <v>212.49291246911747</v>
      </c>
      <c r="N104" s="78">
        <v>0</v>
      </c>
      <c r="O104" s="78">
        <v>0.5173951183628217</v>
      </c>
      <c r="P104" s="78">
        <v>1.1682958618442487</v>
      </c>
      <c r="Q104" s="83">
        <v>1.8484013476117847</v>
      </c>
    </row>
    <row r="105" spans="10:17" ht="15" customHeight="1">
      <c r="J105" s="78">
        <v>5.1407807932711744</v>
      </c>
      <c r="K105" s="78">
        <v>94.133979041151804</v>
      </c>
      <c r="L105" s="78">
        <v>-30.224901787546997</v>
      </c>
      <c r="M105" s="78">
        <v>212.10769313260951</v>
      </c>
      <c r="N105" s="78">
        <v>1.7330421822471661E-3</v>
      </c>
      <c r="O105" s="78">
        <v>0.51755297103706566</v>
      </c>
      <c r="P105" s="78">
        <v>1.1661779081133916</v>
      </c>
      <c r="Q105" s="83">
        <v>1.8304737458478082</v>
      </c>
    </row>
    <row r="106" spans="10:17" ht="15" customHeight="1">
      <c r="J106" s="78">
        <v>5.1916166972837452</v>
      </c>
      <c r="K106" s="78">
        <v>94.251598470913166</v>
      </c>
      <c r="L106" s="78">
        <v>-30.047108247620258</v>
      </c>
      <c r="M106" s="78">
        <v>211.92989959268277</v>
      </c>
      <c r="N106" s="78">
        <v>5.7768072741614968E-4</v>
      </c>
      <c r="O106" s="78">
        <v>0.5181996481025074</v>
      </c>
      <c r="P106" s="78">
        <v>1.1652003910068425</v>
      </c>
      <c r="Q106" s="83">
        <v>1.8148154549135325</v>
      </c>
    </row>
    <row r="107" spans="10:17" ht="15" customHeight="1">
      <c r="J107" s="78">
        <v>5.2436079627511472</v>
      </c>
      <c r="K107" s="78">
        <v>94.398831150900833</v>
      </c>
      <c r="L107" s="78">
        <v>-30.610121124054956</v>
      </c>
      <c r="M107" s="78">
        <v>212.49291246911747</v>
      </c>
      <c r="N107" s="78">
        <v>0</v>
      </c>
      <c r="O107" s="78">
        <v>0.51900914018748612</v>
      </c>
      <c r="P107" s="78">
        <v>1.1682958618442487</v>
      </c>
      <c r="Q107" s="83">
        <v>1.7996291014222603</v>
      </c>
    </row>
    <row r="108" spans="10:17" ht="15" customHeight="1">
      <c r="J108" s="78">
        <v>5.2950215474911326</v>
      </c>
      <c r="K108" s="78">
        <v>94.664604832291531</v>
      </c>
      <c r="L108" s="78">
        <v>-30.373063070819342</v>
      </c>
      <c r="M108" s="78">
        <v>212.25585441588186</v>
      </c>
      <c r="N108" s="78">
        <v>5.7768072741614968E-4</v>
      </c>
      <c r="O108" s="78">
        <v>0.52047037618142067</v>
      </c>
      <c r="P108" s="78">
        <v>1.1669925057021833</v>
      </c>
      <c r="Q108" s="83">
        <v>1.7871743805913898</v>
      </c>
    </row>
    <row r="109" spans="10:17" ht="15" customHeight="1">
      <c r="J109" s="78">
        <v>5.3464351322311181</v>
      </c>
      <c r="K109" s="78">
        <v>94.841483391432902</v>
      </c>
      <c r="L109" s="78">
        <v>-30.699017894018397</v>
      </c>
      <c r="M109" s="78">
        <v>212.58180923908091</v>
      </c>
      <c r="N109" s="78">
        <v>1.1553614548316579E-3</v>
      </c>
      <c r="O109" s="78">
        <v>0.52144286268128859</v>
      </c>
      <c r="P109" s="78">
        <v>1.1687846203975238</v>
      </c>
      <c r="Q109" s="83">
        <v>1.7732965005250574</v>
      </c>
    </row>
    <row r="110" spans="10:17" ht="15" customHeight="1">
      <c r="J110" s="78">
        <v>5.3972710362436889</v>
      </c>
      <c r="K110" s="78">
        <v>94.751683541414778</v>
      </c>
      <c r="L110" s="78">
        <v>-30.076740504274767</v>
      </c>
      <c r="M110" s="78">
        <v>211.95953184933728</v>
      </c>
      <c r="N110" s="78">
        <v>1.1553614548316579E-3</v>
      </c>
      <c r="O110" s="78">
        <v>0.52094913895209993</v>
      </c>
      <c r="P110" s="78">
        <v>1.1653633105246008</v>
      </c>
      <c r="Q110" s="83">
        <v>1.7549303456622247</v>
      </c>
    </row>
    <row r="111" spans="10:17" ht="15" customHeight="1">
      <c r="J111" s="78">
        <v>5.4492623017110899</v>
      </c>
      <c r="K111" s="78">
        <v>95.017451912931165</v>
      </c>
      <c r="L111" s="78">
        <v>-30.669385637363916</v>
      </c>
      <c r="M111" s="78">
        <v>212.55217698242643</v>
      </c>
      <c r="N111" s="78">
        <v>5.7768072741614968E-4</v>
      </c>
      <c r="O111" s="78">
        <v>0.52241034575209999</v>
      </c>
      <c r="P111" s="78">
        <v>1.1686217008797655</v>
      </c>
      <c r="Q111" s="83">
        <v>1.7430637463417664</v>
      </c>
    </row>
    <row r="112" spans="10:17" ht="15" customHeight="1">
      <c r="J112" s="78">
        <v>5.5006758864510763</v>
      </c>
      <c r="K112" s="78">
        <v>95.164703158560329</v>
      </c>
      <c r="L112" s="78">
        <v>-30.343430814164833</v>
      </c>
      <c r="M112" s="78">
        <v>212.22622215922735</v>
      </c>
      <c r="N112" s="78">
        <v>5.7768072741614968E-4</v>
      </c>
      <c r="O112" s="78">
        <v>0.52321993991183446</v>
      </c>
      <c r="P112" s="78">
        <v>1.1668295861844247</v>
      </c>
      <c r="Q112" s="83">
        <v>1.7294486865540606</v>
      </c>
    </row>
    <row r="113" spans="10:17" ht="15" customHeight="1">
      <c r="J113" s="78">
        <v>5.5515117904636462</v>
      </c>
      <c r="K113" s="78">
        <v>95.193437222761347</v>
      </c>
      <c r="L113" s="78">
        <v>-29.898946964347999</v>
      </c>
      <c r="M113" s="78">
        <v>211.78173830941051</v>
      </c>
      <c r="N113" s="78">
        <v>1.1553614548316579E-3</v>
      </c>
      <c r="O113" s="78">
        <v>0.52337792112593684</v>
      </c>
      <c r="P113" s="78">
        <v>1.1643857934180515</v>
      </c>
      <c r="Q113" s="83">
        <v>1.7141294934740217</v>
      </c>
    </row>
    <row r="114" spans="10:17" ht="15" customHeight="1">
      <c r="J114" s="78">
        <v>5.6035030559310481</v>
      </c>
      <c r="K114" s="78">
        <v>95.311049309688599</v>
      </c>
      <c r="L114" s="78">
        <v>-30.284166300855929</v>
      </c>
      <c r="M114" s="78">
        <v>212.16695764591844</v>
      </c>
      <c r="N114" s="78">
        <v>1.1553614548316579E-3</v>
      </c>
      <c r="O114" s="78">
        <v>0.5240245578201369</v>
      </c>
      <c r="P114" s="78">
        <v>1.1665037471489084</v>
      </c>
      <c r="Q114" s="83">
        <v>1.7003241020829871</v>
      </c>
    </row>
    <row r="115" spans="10:17" ht="15" customHeight="1">
      <c r="J115" s="78">
        <v>5.6549166406710336</v>
      </c>
      <c r="K115" s="78">
        <v>95.665731295041155</v>
      </c>
      <c r="L115" s="78">
        <v>-31.054604973871875</v>
      </c>
      <c r="M115" s="78">
        <v>212.93739631893439</v>
      </c>
      <c r="N115" s="78">
        <v>1.1553614548316579E-3</v>
      </c>
      <c r="O115" s="78">
        <v>0.52597461578180327</v>
      </c>
      <c r="P115" s="78">
        <v>1.1707396546106223</v>
      </c>
      <c r="Q115" s="83">
        <v>1.6911371304486071</v>
      </c>
    </row>
    <row r="116" spans="10:17" ht="15" customHeight="1">
      <c r="J116" s="78">
        <v>5.7063302254110191</v>
      </c>
      <c r="K116" s="78">
        <v>95.605563334945444</v>
      </c>
      <c r="L116" s="78">
        <v>-29.513727627840069</v>
      </c>
      <c r="M116" s="78">
        <v>211.39651897290258</v>
      </c>
      <c r="N116" s="78">
        <v>1.1553614548316579E-3</v>
      </c>
      <c r="O116" s="78">
        <v>0.52564380955406309</v>
      </c>
      <c r="P116" s="78">
        <v>1.1622678396871946</v>
      </c>
      <c r="Q116" s="83">
        <v>1.6748457111825354</v>
      </c>
    </row>
    <row r="117" spans="10:17" ht="15" customHeight="1">
      <c r="J117" s="78">
        <v>5.7577438101510054</v>
      </c>
      <c r="K117" s="78">
        <v>95.841719589108379</v>
      </c>
      <c r="L117" s="78">
        <v>-30.13600501758367</v>
      </c>
      <c r="M117" s="78">
        <v>212.01879636264619</v>
      </c>
      <c r="N117" s="78">
        <v>5.7768072741614968E-4</v>
      </c>
      <c r="O117" s="78">
        <v>0.52694220756311339</v>
      </c>
      <c r="P117" s="78">
        <v>1.1656891495601174</v>
      </c>
      <c r="Q117" s="83">
        <v>1.6639917728096936</v>
      </c>
    </row>
    <row r="118" spans="10:17" ht="15" customHeight="1">
      <c r="J118" s="78">
        <v>5.8091573948909918</v>
      </c>
      <c r="K118" s="78">
        <v>95.929716207713071</v>
      </c>
      <c r="L118" s="78">
        <v>-29.928579221002423</v>
      </c>
      <c r="M118" s="78">
        <v>211.81137056606494</v>
      </c>
      <c r="N118" s="78">
        <v>5.7768072741614968E-4</v>
      </c>
      <c r="O118" s="78">
        <v>0.52742601704258063</v>
      </c>
      <c r="P118" s="78">
        <v>1.1645487129358094</v>
      </c>
      <c r="Q118" s="83">
        <v>1.6507795089751787</v>
      </c>
    </row>
    <row r="119" spans="10:17" ht="15" customHeight="1">
      <c r="J119" s="78">
        <v>5.8605709796309764</v>
      </c>
      <c r="K119" s="78">
        <v>96.136243500649698</v>
      </c>
      <c r="L119" s="78">
        <v>-30.343430814164833</v>
      </c>
      <c r="M119" s="78">
        <v>212.22622215922735</v>
      </c>
      <c r="N119" s="78">
        <v>1.1553614548316579E-3</v>
      </c>
      <c r="O119" s="78">
        <v>0.52856151365228898</v>
      </c>
      <c r="P119" s="78">
        <v>1.1668295861844247</v>
      </c>
      <c r="Q119" s="83">
        <v>1.6398215727772782</v>
      </c>
    </row>
    <row r="120" spans="10:17" ht="15" customHeight="1">
      <c r="J120" s="78">
        <v>5.9119845643709628</v>
      </c>
      <c r="K120" s="78">
        <v>96.16497890137363</v>
      </c>
      <c r="L120" s="78">
        <v>-30.106372760929219</v>
      </c>
      <c r="M120" s="78">
        <v>211.98916410599173</v>
      </c>
      <c r="N120" s="78">
        <v>5.7768072741614968E-4</v>
      </c>
      <c r="O120" s="78">
        <v>0.52871950221465613</v>
      </c>
      <c r="P120" s="78">
        <v>1.165526230042359</v>
      </c>
      <c r="Q120" s="83">
        <v>1.6260469148039089</v>
      </c>
    </row>
    <row r="121" spans="10:17" ht="15" customHeight="1">
      <c r="J121" s="78">
        <v>5.9633981491109491</v>
      </c>
      <c r="K121" s="78">
        <v>96.371509489738401</v>
      </c>
      <c r="L121" s="78">
        <v>-30.313798557510381</v>
      </c>
      <c r="M121" s="78">
        <v>212.1965899025729</v>
      </c>
      <c r="N121" s="78">
        <v>5.7768072741614968E-4</v>
      </c>
      <c r="O121" s="78">
        <v>0.52985501694278103</v>
      </c>
      <c r="P121" s="78">
        <v>1.1666666666666665</v>
      </c>
      <c r="Q121" s="83">
        <v>1.6154912147760025</v>
      </c>
    </row>
    <row r="122" spans="10:17" ht="15" customHeight="1">
      <c r="J122" s="78">
        <v>6.0148117338509346</v>
      </c>
      <c r="K122" s="78">
        <v>96.42988044254497</v>
      </c>
      <c r="L122" s="78">
        <v>-29.750785681075683</v>
      </c>
      <c r="M122" s="78">
        <v>211.6335770261382</v>
      </c>
      <c r="N122" s="78">
        <v>5.7768072741614968E-4</v>
      </c>
      <c r="O122" s="78">
        <v>0.53017594314132299</v>
      </c>
      <c r="P122" s="78">
        <v>1.1635711958292601</v>
      </c>
      <c r="Q122" s="83">
        <v>1.6026527249605464</v>
      </c>
    </row>
    <row r="123" spans="10:17" ht="15" customHeight="1">
      <c r="J123" s="78">
        <v>6.066225318590921</v>
      </c>
      <c r="K123" s="78">
        <v>96.606782069683419</v>
      </c>
      <c r="L123" s="78">
        <v>-30.284166300855929</v>
      </c>
      <c r="M123" s="78">
        <v>212.16695764591844</v>
      </c>
      <c r="N123" s="78">
        <v>1.1553614548316579E-3</v>
      </c>
      <c r="O123" s="78">
        <v>0.53114855647010584</v>
      </c>
      <c r="P123" s="78">
        <v>1.1665037471489084</v>
      </c>
      <c r="Q123" s="83">
        <v>1.5919858018623598</v>
      </c>
    </row>
    <row r="124" spans="10:17" ht="15" customHeight="1">
      <c r="J124" s="78">
        <v>6.1176389033309064</v>
      </c>
      <c r="K124" s="78">
        <v>96.635524061263666</v>
      </c>
      <c r="L124" s="78">
        <v>-29.661888911112328</v>
      </c>
      <c r="M124" s="78">
        <v>211.54468025617484</v>
      </c>
      <c r="N124" s="78">
        <v>5.7768072741614968E-4</v>
      </c>
      <c r="O124" s="78">
        <v>0.53130658126930586</v>
      </c>
      <c r="P124" s="78">
        <v>1.1630824372759856</v>
      </c>
      <c r="Q124" s="83">
        <v>1.5790763282862257</v>
      </c>
    </row>
    <row r="125" spans="10:17" ht="15" customHeight="1">
      <c r="J125" s="78">
        <v>6.1690524880708937</v>
      </c>
      <c r="K125" s="78">
        <v>96.782796727175821</v>
      </c>
      <c r="L125" s="78">
        <v>-30.254534044201478</v>
      </c>
      <c r="M125" s="78">
        <v>212.13732538926399</v>
      </c>
      <c r="N125" s="78">
        <v>0</v>
      </c>
      <c r="O125" s="78">
        <v>0.53211629319874709</v>
      </c>
      <c r="P125" s="78">
        <v>1.16634082763115</v>
      </c>
      <c r="Q125" s="83">
        <v>1.5683034084330476</v>
      </c>
    </row>
    <row r="126" spans="10:17" ht="15" customHeight="1">
      <c r="J126" s="78">
        <v>6.2204660728108783</v>
      </c>
      <c r="K126" s="78">
        <v>96.98933555411098</v>
      </c>
      <c r="L126" s="78">
        <v>-30.13600501758367</v>
      </c>
      <c r="M126" s="78">
        <v>212.01879636264619</v>
      </c>
      <c r="N126" s="78">
        <v>5.7768072741614968E-4</v>
      </c>
      <c r="O126" s="78">
        <v>0.53325185322291291</v>
      </c>
      <c r="P126" s="78">
        <v>1.1656891495601174</v>
      </c>
      <c r="Q126" s="83">
        <v>1.5586613306864745</v>
      </c>
    </row>
    <row r="127" spans="10:17" ht="15" customHeight="1">
      <c r="J127" s="78">
        <v>6.2718796575508637</v>
      </c>
      <c r="K127" s="78">
        <v>96.988450232178977</v>
      </c>
      <c r="L127" s="78">
        <v>-29.543359884494492</v>
      </c>
      <c r="M127" s="78">
        <v>211.42615122955701</v>
      </c>
      <c r="N127" s="78">
        <v>0</v>
      </c>
      <c r="O127" s="78">
        <v>0.53324698568197926</v>
      </c>
      <c r="P127" s="78">
        <v>1.1624307592049525</v>
      </c>
      <c r="Q127" s="83">
        <v>1.5458701256602743</v>
      </c>
    </row>
    <row r="128" spans="10:17" ht="15" customHeight="1">
      <c r="J128" s="78">
        <v>6.3232932422908501</v>
      </c>
      <c r="K128" s="78">
        <v>97.106095584578938</v>
      </c>
      <c r="L128" s="78">
        <v>-29.780417937730192</v>
      </c>
      <c r="M128" s="78">
        <v>211.66320928279271</v>
      </c>
      <c r="N128" s="78">
        <v>0</v>
      </c>
      <c r="O128" s="78">
        <v>0.53389380527128705</v>
      </c>
      <c r="P128" s="78">
        <v>1.1637341153470186</v>
      </c>
      <c r="Q128" s="83">
        <v>1.5351614352883376</v>
      </c>
    </row>
    <row r="129" spans="10:17" ht="15" customHeight="1">
      <c r="J129" s="78">
        <v>6.3747068270308365</v>
      </c>
      <c r="K129" s="78">
        <v>97.194110328038491</v>
      </c>
      <c r="L129" s="78">
        <v>-29.810050194384644</v>
      </c>
      <c r="M129" s="78">
        <v>211.69284153944716</v>
      </c>
      <c r="N129" s="78">
        <v>1.7330421822471661E-3</v>
      </c>
      <c r="O129" s="78">
        <v>0.53437771440204462</v>
      </c>
      <c r="P129" s="78">
        <v>1.1638970348647768</v>
      </c>
      <c r="Q129" s="83">
        <v>1.524160666139325</v>
      </c>
    </row>
    <row r="130" spans="10:17" ht="15" customHeight="1">
      <c r="J130" s="78">
        <v>6.4261204117708219</v>
      </c>
      <c r="K130" s="78">
        <v>97.400655745829937</v>
      </c>
      <c r="L130" s="78">
        <v>-29.750785681075683</v>
      </c>
      <c r="M130" s="78">
        <v>211.6335770261382</v>
      </c>
      <c r="N130" s="78">
        <v>5.7768072741614968E-4</v>
      </c>
      <c r="O130" s="78">
        <v>0.53551331066304331</v>
      </c>
      <c r="P130" s="78">
        <v>1.1635711958292601</v>
      </c>
      <c r="Q130" s="83">
        <v>1.5151804388654853</v>
      </c>
    </row>
    <row r="131" spans="10:17" ht="15" customHeight="1">
      <c r="J131" s="78">
        <v>6.4775339965108074</v>
      </c>
      <c r="K131" s="78">
        <v>97.459041528063196</v>
      </c>
      <c r="L131" s="78">
        <v>-29.484095371185617</v>
      </c>
      <c r="M131" s="78">
        <v>211.36688671624813</v>
      </c>
      <c r="N131" s="78">
        <v>5.7768072741614968E-4</v>
      </c>
      <c r="O131" s="78">
        <v>0.53583431839445905</v>
      </c>
      <c r="P131" s="78">
        <v>1.1621049201694365</v>
      </c>
      <c r="Q131" s="83">
        <v>1.5040554830249648</v>
      </c>
    </row>
    <row r="132" spans="10:17" ht="15" customHeight="1">
      <c r="J132" s="78">
        <v>6.5289475812507938</v>
      </c>
      <c r="K132" s="78">
        <v>97.517428958010527</v>
      </c>
      <c r="L132" s="78">
        <v>-29.661888911112328</v>
      </c>
      <c r="M132" s="78">
        <v>211.54468025617484</v>
      </c>
      <c r="N132" s="78">
        <v>1.7330421822471661E-3</v>
      </c>
      <c r="O132" s="78">
        <v>0.53615533518508307</v>
      </c>
      <c r="P132" s="78">
        <v>1.1630824372759856</v>
      </c>
      <c r="Q132" s="83">
        <v>1.4931057640778085</v>
      </c>
    </row>
    <row r="133" spans="10:17" ht="15" customHeight="1">
      <c r="J133" s="78">
        <v>6.5803611659907792</v>
      </c>
      <c r="K133" s="78">
        <v>97.546185779017449</v>
      </c>
      <c r="L133" s="78">
        <v>-29.30630183125885</v>
      </c>
      <c r="M133" s="78">
        <v>211.18909317632136</v>
      </c>
      <c r="N133" s="78">
        <v>5.7768072741614968E-4</v>
      </c>
      <c r="O133" s="78">
        <v>0.53631344151715699</v>
      </c>
      <c r="P133" s="78">
        <v>1.1611274030628869</v>
      </c>
      <c r="Q133" s="83">
        <v>1.4818768610187532</v>
      </c>
    </row>
    <row r="134" spans="10:17" ht="15" customHeight="1">
      <c r="J134" s="78">
        <v>6.6317747507307665</v>
      </c>
      <c r="K134" s="78">
        <v>97.604576504392938</v>
      </c>
      <c r="L134" s="78">
        <v>-29.158140547986562</v>
      </c>
      <c r="M134" s="78">
        <v>211.04093189304908</v>
      </c>
      <c r="N134" s="78">
        <v>0</v>
      </c>
      <c r="O134" s="78">
        <v>0.53663447642619744</v>
      </c>
      <c r="P134" s="78">
        <v>1.1603128054740959</v>
      </c>
      <c r="Q134" s="83">
        <v>1.4712689119138904</v>
      </c>
    </row>
    <row r="135" spans="10:17" ht="15" customHeight="1">
      <c r="J135" s="78">
        <v>6.6826106547433355</v>
      </c>
      <c r="K135" s="78">
        <v>97.574081897694597</v>
      </c>
      <c r="L135" s="78">
        <v>-28.832185724787479</v>
      </c>
      <c r="M135" s="78">
        <v>210.71497706984999</v>
      </c>
      <c r="N135" s="78">
        <v>1.1553614548316579E-3</v>
      </c>
      <c r="O135" s="78">
        <v>0.53646681566800902</v>
      </c>
      <c r="P135" s="78">
        <v>1.1585206907787551</v>
      </c>
      <c r="Q135" s="83">
        <v>1.4596203586950505</v>
      </c>
    </row>
    <row r="136" spans="10:17" ht="15" customHeight="1">
      <c r="J136" s="78">
        <v>6.7346019202107383</v>
      </c>
      <c r="K136" s="78">
        <v>97.839891924903938</v>
      </c>
      <c r="L136" s="78">
        <v>-28.861817981441988</v>
      </c>
      <c r="M136" s="78">
        <v>210.7446093265045</v>
      </c>
      <c r="N136" s="78">
        <v>5.7768072741614968E-4</v>
      </c>
      <c r="O136" s="78">
        <v>0.53792825149293566</v>
      </c>
      <c r="P136" s="78">
        <v>1.1586836102965135</v>
      </c>
      <c r="Q136" s="83">
        <v>1.4522989895311751</v>
      </c>
    </row>
    <row r="137" spans="10:17" ht="15" customHeight="1">
      <c r="J137" s="78">
        <v>6.7860155049507238</v>
      </c>
      <c r="K137" s="78">
        <v>97.779758566803821</v>
      </c>
      <c r="L137" s="78">
        <v>-28.921082494750863</v>
      </c>
      <c r="M137" s="78">
        <v>210.80387383981338</v>
      </c>
      <c r="N137" s="78">
        <v>5.7768072741614968E-4</v>
      </c>
      <c r="O137" s="78">
        <v>0.53759763550856787</v>
      </c>
      <c r="P137" s="78">
        <v>1.1590094493320298</v>
      </c>
      <c r="Q137" s="83">
        <v>1.4404096513890494</v>
      </c>
    </row>
    <row r="138" spans="10:17" ht="15" customHeight="1">
      <c r="J138" s="78">
        <v>6.8374290896907093</v>
      </c>
      <c r="K138" s="78">
        <v>97.986317166307899</v>
      </c>
      <c r="L138" s="78">
        <v>-28.7136566981697</v>
      </c>
      <c r="M138" s="78">
        <v>210.59644804323221</v>
      </c>
      <c r="N138" s="78">
        <v>5.7768072741614968E-4</v>
      </c>
      <c r="O138" s="78">
        <v>0.53873330424323229</v>
      </c>
      <c r="P138" s="78">
        <v>1.1578690127077225</v>
      </c>
      <c r="Q138" s="83">
        <v>1.4325995866671948</v>
      </c>
    </row>
    <row r="139" spans="10:17" ht="15" customHeight="1">
      <c r="J139" s="78">
        <v>6.8888426744306965</v>
      </c>
      <c r="K139" s="78">
        <v>98.015083873599309</v>
      </c>
      <c r="L139" s="78">
        <v>-28.387701874970645</v>
      </c>
      <c r="M139" s="78">
        <v>210.27049322003316</v>
      </c>
      <c r="N139" s="78">
        <v>5.7768072741614968E-4</v>
      </c>
      <c r="O139" s="78">
        <v>0.53889146493055551</v>
      </c>
      <c r="P139" s="78">
        <v>1.1560768980123819</v>
      </c>
      <c r="Q139" s="83">
        <v>1.4223252324884947</v>
      </c>
    </row>
    <row r="140" spans="10:17" ht="15" customHeight="1">
      <c r="J140" s="78">
        <v>6.9402562591706811</v>
      </c>
      <c r="K140" s="78">
        <v>98.043852228604777</v>
      </c>
      <c r="L140" s="78">
        <v>-27.913585768499331</v>
      </c>
      <c r="M140" s="78">
        <v>209.79637711356185</v>
      </c>
      <c r="N140" s="78">
        <v>0</v>
      </c>
      <c r="O140" s="78">
        <v>0.53904963467708689</v>
      </c>
      <c r="P140" s="78">
        <v>1.1534701857282503</v>
      </c>
      <c r="Q140" s="83">
        <v>1.4122031273753022</v>
      </c>
    </row>
    <row r="141" spans="10:17" ht="15" customHeight="1">
      <c r="J141" s="78">
        <v>6.9916698439106666</v>
      </c>
      <c r="K141" s="78">
        <v>98.191151257942167</v>
      </c>
      <c r="L141" s="78">
        <v>-28.09137930842607</v>
      </c>
      <c r="M141" s="78">
        <v>209.97417065348859</v>
      </c>
      <c r="N141" s="78">
        <v>5.7768072741614968E-4</v>
      </c>
      <c r="O141" s="78">
        <v>0.53985949155385948</v>
      </c>
      <c r="P141" s="78">
        <v>1.1544477028347995</v>
      </c>
      <c r="Q141" s="83">
        <v>1.4039252018556854</v>
      </c>
    </row>
    <row r="142" spans="10:17" ht="15" customHeight="1">
      <c r="J142" s="78">
        <v>7.0430834286506538</v>
      </c>
      <c r="K142" s="78">
        <v>98.249555165030273</v>
      </c>
      <c r="L142" s="78">
        <v>-27.913585768499331</v>
      </c>
      <c r="M142" s="78">
        <v>209.79637711356185</v>
      </c>
      <c r="N142" s="78">
        <v>1.1553614548316579E-3</v>
      </c>
      <c r="O142" s="78">
        <v>0.54018059893656567</v>
      </c>
      <c r="P142" s="78">
        <v>1.1534701857282503</v>
      </c>
      <c r="Q142" s="83">
        <v>1.3945059698818694</v>
      </c>
    </row>
    <row r="143" spans="10:17" ht="15" customHeight="1">
      <c r="J143" s="78">
        <v>7.0944970133906384</v>
      </c>
      <c r="K143" s="78">
        <v>98.189431693214587</v>
      </c>
      <c r="L143" s="78">
        <v>-27.646895458609151</v>
      </c>
      <c r="M143" s="78">
        <v>209.52968680367167</v>
      </c>
      <c r="N143" s="78">
        <v>5.7768072741614968E-4</v>
      </c>
      <c r="O143" s="78">
        <v>0.53985003730744696</v>
      </c>
      <c r="P143" s="78">
        <v>1.1520039100684258</v>
      </c>
      <c r="Q143" s="83">
        <v>1.3835525650262703</v>
      </c>
    </row>
    <row r="144" spans="10:17" ht="15" customHeight="1">
      <c r="J144" s="78">
        <v>7.1459105981306257</v>
      </c>
      <c r="K144" s="78">
        <v>98.366367922348687</v>
      </c>
      <c r="L144" s="78">
        <v>-27.557998688645824</v>
      </c>
      <c r="M144" s="78">
        <v>209.44079003370834</v>
      </c>
      <c r="N144" s="78">
        <v>0</v>
      </c>
      <c r="O144" s="78">
        <v>0.54082284087960253</v>
      </c>
      <c r="P144" s="78">
        <v>1.1515151515151514</v>
      </c>
      <c r="Q144" s="83">
        <v>1.3760741935301626</v>
      </c>
    </row>
    <row r="145" spans="10:17" ht="15" customHeight="1">
      <c r="J145" s="78">
        <v>7.1973241828706112</v>
      </c>
      <c r="K145" s="78">
        <v>98.365512259270076</v>
      </c>
      <c r="L145" s="78">
        <v>-27.380205148719085</v>
      </c>
      <c r="M145" s="78">
        <v>209.2629964937816</v>
      </c>
      <c r="N145" s="78">
        <v>-5.7768072741550837E-4</v>
      </c>
      <c r="O145" s="78">
        <v>0.54081813640441667</v>
      </c>
      <c r="P145" s="78">
        <v>1.1505376344086022</v>
      </c>
      <c r="Q145" s="83">
        <v>1.3662324146043201</v>
      </c>
    </row>
    <row r="146" spans="10:17" ht="15" customHeight="1">
      <c r="J146" s="78">
        <v>7.2487377676105966</v>
      </c>
      <c r="K146" s="78">
        <v>98.127600190669895</v>
      </c>
      <c r="L146" s="78">
        <v>-27.765424485227015</v>
      </c>
      <c r="M146" s="78">
        <v>209.64821583028953</v>
      </c>
      <c r="N146" s="78">
        <v>1.1553614548316579E-3</v>
      </c>
      <c r="O146" s="78">
        <v>0.53951008484637331</v>
      </c>
      <c r="P146" s="78">
        <v>1.1526555881394589</v>
      </c>
      <c r="Q146" s="83">
        <v>1.3532599336155662</v>
      </c>
    </row>
    <row r="147" spans="10:17" ht="15" customHeight="1">
      <c r="J147" s="78">
        <v>7.300151352350583</v>
      </c>
      <c r="K147" s="78">
        <v>97.771160743165964</v>
      </c>
      <c r="L147" s="78">
        <v>-27.08388258217451</v>
      </c>
      <c r="M147" s="78">
        <v>208.96667392723703</v>
      </c>
      <c r="N147" s="78">
        <v>5.7768072741614968E-4</v>
      </c>
      <c r="O147" s="78">
        <v>0.53755036427650538</v>
      </c>
      <c r="P147" s="78">
        <v>1.1489084392310198</v>
      </c>
      <c r="Q147" s="83">
        <v>1.3388465490233843</v>
      </c>
    </row>
    <row r="148" spans="10:17" ht="15" customHeight="1">
      <c r="J148" s="78">
        <v>7.3515649370905685</v>
      </c>
      <c r="K148" s="78">
        <v>97.799942279884078</v>
      </c>
      <c r="L148" s="78">
        <v>-27.08388258217451</v>
      </c>
      <c r="M148" s="78">
        <v>208.96667392723703</v>
      </c>
      <c r="N148" s="78">
        <v>5.7768072741614968E-4</v>
      </c>
      <c r="O148" s="78">
        <v>0.5377086064967026</v>
      </c>
      <c r="P148" s="78">
        <v>1.1489084392310198</v>
      </c>
      <c r="Q148" s="83">
        <v>1.3298747522162213</v>
      </c>
    </row>
    <row r="149" spans="10:17" ht="15" customHeight="1">
      <c r="J149" s="78">
        <v>7.4029785218305539</v>
      </c>
      <c r="K149" s="78">
        <v>97.947254490934085</v>
      </c>
      <c r="L149" s="78">
        <v>-26.935721298902223</v>
      </c>
      <c r="M149" s="78">
        <v>208.81851264396474</v>
      </c>
      <c r="N149" s="78">
        <v>1.7330421822471661E-3</v>
      </c>
      <c r="O149" s="78">
        <v>0.53851853584714082</v>
      </c>
      <c r="P149" s="78">
        <v>1.1480938416422288</v>
      </c>
      <c r="Q149" s="83">
        <v>1.3226286948349322</v>
      </c>
    </row>
    <row r="150" spans="10:17" ht="15" customHeight="1">
      <c r="J150" s="78">
        <v>7.4543921065705394</v>
      </c>
      <c r="K150" s="78">
        <v>98.18346511966152</v>
      </c>
      <c r="L150" s="78">
        <v>-26.757927758975427</v>
      </c>
      <c r="M150" s="78">
        <v>208.64071910403794</v>
      </c>
      <c r="N150" s="78">
        <v>1.1553614548316579E-3</v>
      </c>
      <c r="O150" s="78">
        <v>0.53981723281006189</v>
      </c>
      <c r="P150" s="78">
        <v>1.147116324535679</v>
      </c>
      <c r="Q150" s="83">
        <v>1.3166751550996705</v>
      </c>
    </row>
    <row r="151" spans="10:17" ht="15" customHeight="1">
      <c r="J151" s="78">
        <v>7.5058056913105267</v>
      </c>
      <c r="K151" s="78">
        <v>98.093722572904014</v>
      </c>
      <c r="L151" s="78">
        <v>-26.135650369231826</v>
      </c>
      <c r="M151" s="78">
        <v>208.01844171429434</v>
      </c>
      <c r="N151" s="78">
        <v>5.7768072741614968E-4</v>
      </c>
      <c r="O151" s="78">
        <v>0.53932382413685076</v>
      </c>
      <c r="P151" s="78">
        <v>1.1436950146627565</v>
      </c>
      <c r="Q151" s="83">
        <v>1.3064604962754669</v>
      </c>
    </row>
    <row r="152" spans="10:17" ht="15" customHeight="1">
      <c r="J152" s="78">
        <v>7.557219276050513</v>
      </c>
      <c r="K152" s="78">
        <v>98.270671983750702</v>
      </c>
      <c r="L152" s="78">
        <v>-26.757927758975427</v>
      </c>
      <c r="M152" s="78">
        <v>208.64071910403794</v>
      </c>
      <c r="N152" s="78">
        <v>1.1553614548316579E-3</v>
      </c>
      <c r="O152" s="78">
        <v>0.54029670018267184</v>
      </c>
      <c r="P152" s="78">
        <v>1.147116324535679</v>
      </c>
      <c r="Q152" s="83">
        <v>1.2999137924492561</v>
      </c>
    </row>
    <row r="153" spans="10:17" ht="15" customHeight="1">
      <c r="J153" s="78">
        <v>7.6086328607904967</v>
      </c>
      <c r="K153" s="78">
        <v>98.358726272348093</v>
      </c>
      <c r="L153" s="78">
        <v>-26.520869705739813</v>
      </c>
      <c r="M153" s="78">
        <v>208.40366105080233</v>
      </c>
      <c r="N153" s="78">
        <v>5.7768072741614968E-4</v>
      </c>
      <c r="O153" s="78">
        <v>0.54078082673442651</v>
      </c>
      <c r="P153" s="78">
        <v>1.1458129683936136</v>
      </c>
      <c r="Q153" s="83">
        <v>1.2922872187763352</v>
      </c>
    </row>
    <row r="154" spans="10:17" ht="15" customHeight="1">
      <c r="J154" s="78">
        <v>7.660046445530484</v>
      </c>
      <c r="K154" s="78">
        <v>98.387517695350667</v>
      </c>
      <c r="L154" s="78">
        <v>-25.868960059341703</v>
      </c>
      <c r="M154" s="78">
        <v>207.75175140440422</v>
      </c>
      <c r="N154" s="78">
        <v>5.7768072741614968E-4</v>
      </c>
      <c r="O154" s="78">
        <v>0.54093912330987293</v>
      </c>
      <c r="P154" s="78">
        <v>1.1422287390029324</v>
      </c>
      <c r="Q154" s="83">
        <v>1.2839893609783855</v>
      </c>
    </row>
    <row r="155" spans="10:17" ht="15" customHeight="1">
      <c r="J155" s="78">
        <v>7.7114600302704703</v>
      </c>
      <c r="K155" s="78">
        <v>98.44594302272175</v>
      </c>
      <c r="L155" s="78">
        <v>-25.987489085959567</v>
      </c>
      <c r="M155" s="78">
        <v>207.87028043102208</v>
      </c>
      <c r="N155" s="78">
        <v>0</v>
      </c>
      <c r="O155" s="78">
        <v>0.54126034846228577</v>
      </c>
      <c r="P155" s="78">
        <v>1.1428804170739655</v>
      </c>
      <c r="Q155" s="83">
        <v>1.2761864335375901</v>
      </c>
    </row>
    <row r="156" spans="10:17" ht="15" customHeight="1">
      <c r="J156" s="78">
        <v>7.7628736150104558</v>
      </c>
      <c r="K156" s="78">
        <v>98.385840971189083</v>
      </c>
      <c r="L156" s="78">
        <v>-25.691166519414992</v>
      </c>
      <c r="M156" s="78">
        <v>207.57395786447751</v>
      </c>
      <c r="N156" s="78">
        <v>5.7768072741614968E-4</v>
      </c>
      <c r="O156" s="78">
        <v>0.54092990460287393</v>
      </c>
      <c r="P156" s="78">
        <v>1.1412512218963833</v>
      </c>
      <c r="Q156" s="83">
        <v>1.2669600145528113</v>
      </c>
    </row>
    <row r="157" spans="10:17" ht="15" customHeight="1">
      <c r="J157" s="78">
        <v>7.8142871997504413</v>
      </c>
      <c r="K157" s="78">
        <v>98.385005080679406</v>
      </c>
      <c r="L157" s="78">
        <v>-25.780063289378319</v>
      </c>
      <c r="M157" s="78">
        <v>207.66285463444083</v>
      </c>
      <c r="N157" s="78">
        <v>5.7768072741614968E-4</v>
      </c>
      <c r="O157" s="78">
        <v>0.54092530883818668</v>
      </c>
      <c r="P157" s="78">
        <v>1.1417399804496575</v>
      </c>
      <c r="Q157" s="83">
        <v>1.2586134381531833</v>
      </c>
    </row>
    <row r="158" spans="10:17" ht="15" customHeight="1">
      <c r="J158" s="78">
        <v>7.8657007844904276</v>
      </c>
      <c r="K158" s="78">
        <v>98.561964377810554</v>
      </c>
      <c r="L158" s="78">
        <v>-25.720798776069415</v>
      </c>
      <c r="M158" s="78">
        <v>207.60359012113193</v>
      </c>
      <c r="N158" s="78">
        <v>0</v>
      </c>
      <c r="O158" s="78">
        <v>0.54189823923925706</v>
      </c>
      <c r="P158" s="78">
        <v>1.1414141414141412</v>
      </c>
      <c r="Q158" s="83">
        <v>1.2526363611917812</v>
      </c>
    </row>
    <row r="159" spans="10:17" ht="15" customHeight="1">
      <c r="J159" s="78">
        <v>7.9171143692304131</v>
      </c>
      <c r="K159" s="78">
        <v>98.531499526074583</v>
      </c>
      <c r="L159" s="78">
        <v>-25.513372979488224</v>
      </c>
      <c r="M159" s="78">
        <v>207.39616432455074</v>
      </c>
      <c r="N159" s="78">
        <v>5.7768072741614968E-4</v>
      </c>
      <c r="O159" s="78">
        <v>0.54173074207522809</v>
      </c>
      <c r="P159" s="78">
        <v>1.1402737047898337</v>
      </c>
      <c r="Q159" s="83">
        <v>1.2441169679213928</v>
      </c>
    </row>
    <row r="160" spans="10:17" ht="15" customHeight="1">
      <c r="J160" s="78">
        <v>7.9685279539703986</v>
      </c>
      <c r="K160" s="78">
        <v>98.649197605324972</v>
      </c>
      <c r="L160" s="78">
        <v>-25.039256873016939</v>
      </c>
      <c r="M160" s="78">
        <v>206.92204821807945</v>
      </c>
      <c r="N160" s="78">
        <v>5.7768072741614968E-4</v>
      </c>
      <c r="O160" s="78">
        <v>0.54237785155919838</v>
      </c>
      <c r="P160" s="78">
        <v>1.1376669925057024</v>
      </c>
      <c r="Q160" s="83">
        <v>1.2375668616115272</v>
      </c>
    </row>
    <row r="161" spans="10:17" ht="15" customHeight="1">
      <c r="J161" s="78">
        <v>8.0199415387103858</v>
      </c>
      <c r="K161" s="78">
        <v>98.61873604901713</v>
      </c>
      <c r="L161" s="78">
        <v>-25.009624616362458</v>
      </c>
      <c r="M161" s="78">
        <v>206.89241596142497</v>
      </c>
      <c r="N161" s="78">
        <v>1.1553614548316579E-3</v>
      </c>
      <c r="O161" s="78">
        <v>0.54221037251358573</v>
      </c>
      <c r="P161" s="78">
        <v>1.137504072987944</v>
      </c>
      <c r="Q161" s="83">
        <v>1.229253346603989</v>
      </c>
    </row>
    <row r="162" spans="10:17" ht="15" customHeight="1">
      <c r="J162" s="78">
        <v>8.0713551234503722</v>
      </c>
      <c r="K162" s="78">
        <v>98.677172910386773</v>
      </c>
      <c r="L162" s="78">
        <v>-24.861463333090114</v>
      </c>
      <c r="M162" s="78">
        <v>206.74425467815263</v>
      </c>
      <c r="N162" s="78">
        <v>0</v>
      </c>
      <c r="O162" s="78">
        <v>0.54253166108045614</v>
      </c>
      <c r="P162" s="78">
        <v>1.1366894753991525</v>
      </c>
      <c r="Q162" s="83">
        <v>1.2221471501737355</v>
      </c>
    </row>
    <row r="163" spans="10:17" ht="15" customHeight="1">
      <c r="J163" s="78">
        <v>8.1227687081903568</v>
      </c>
      <c r="K163" s="78">
        <v>98.617082392852637</v>
      </c>
      <c r="L163" s="78">
        <v>-24.446611739927761</v>
      </c>
      <c r="M163" s="78">
        <v>206.32940308499028</v>
      </c>
      <c r="N163" s="78">
        <v>5.7768072741614968E-4</v>
      </c>
      <c r="O163" s="78">
        <v>0.54220128063550166</v>
      </c>
      <c r="P163" s="78">
        <v>1.1344086021505377</v>
      </c>
      <c r="Q163" s="83">
        <v>1.2136717127586354</v>
      </c>
    </row>
    <row r="164" spans="10:17" ht="15" customHeight="1">
      <c r="J164" s="78">
        <v>8.1741822929303432</v>
      </c>
      <c r="K164" s="78">
        <v>98.70515480630489</v>
      </c>
      <c r="L164" s="78">
        <v>-24.565140766545539</v>
      </c>
      <c r="M164" s="78">
        <v>206.44793211160805</v>
      </c>
      <c r="N164" s="78">
        <v>5.7768072741614968E-4</v>
      </c>
      <c r="O164" s="78">
        <v>0.54268550683854677</v>
      </c>
      <c r="P164" s="78">
        <v>1.1350602802215704</v>
      </c>
      <c r="Q164" s="83">
        <v>1.207115464049628</v>
      </c>
    </row>
    <row r="165" spans="10:17" ht="15" customHeight="1">
      <c r="J165" s="78">
        <v>8.2255958776703295</v>
      </c>
      <c r="K165" s="78">
        <v>98.585803070890009</v>
      </c>
      <c r="L165" s="78">
        <v>-23.735437580220747</v>
      </c>
      <c r="M165" s="78">
        <v>205.61822892528326</v>
      </c>
      <c r="N165" s="78">
        <v>5.7768072741614968E-4</v>
      </c>
      <c r="O165" s="78">
        <v>0.54202930547649231</v>
      </c>
      <c r="P165" s="78">
        <v>1.1304985337243401</v>
      </c>
      <c r="Q165" s="83">
        <v>1.1981194827439781</v>
      </c>
    </row>
    <row r="166" spans="10:17" ht="15" customHeight="1">
      <c r="J166" s="78">
        <v>8.2770094624103141</v>
      </c>
      <c r="K166" s="78">
        <v>98.614614266461473</v>
      </c>
      <c r="L166" s="78">
        <v>-23.705805323566295</v>
      </c>
      <c r="M166" s="78">
        <v>205.58859666862881</v>
      </c>
      <c r="N166" s="78">
        <v>1.1553614548316579E-3</v>
      </c>
      <c r="O166" s="78">
        <v>0.54218771076243721</v>
      </c>
      <c r="P166" s="78">
        <v>1.1303356142065819</v>
      </c>
      <c r="Q166" s="83">
        <v>1.1910253144620395</v>
      </c>
    </row>
    <row r="167" spans="10:17" ht="15" customHeight="1">
      <c r="J167" s="78">
        <v>8.3284230471503005</v>
      </c>
      <c r="K167" s="78">
        <v>98.643427109747023</v>
      </c>
      <c r="L167" s="78">
        <v>-23.468747270330653</v>
      </c>
      <c r="M167" s="78">
        <v>205.35153861539317</v>
      </c>
      <c r="N167" s="78">
        <v>5.7768072741614968E-4</v>
      </c>
      <c r="O167" s="78">
        <v>0.54234612510759028</v>
      </c>
      <c r="P167" s="78">
        <v>1.1290322580645162</v>
      </c>
      <c r="Q167" s="83">
        <v>1.1840187543637297</v>
      </c>
    </row>
    <row r="168" spans="10:17" ht="15" customHeight="1">
      <c r="J168" s="78">
        <v>8.3798366318902868</v>
      </c>
      <c r="K168" s="78">
        <v>98.612977087437727</v>
      </c>
      <c r="L168" s="78">
        <v>-23.261321473749433</v>
      </c>
      <c r="M168" s="78">
        <v>205.14411281881195</v>
      </c>
      <c r="N168" s="78">
        <v>5.7768072741614968E-4</v>
      </c>
      <c r="O168" s="78">
        <v>0.54217870947643521</v>
      </c>
      <c r="P168" s="78">
        <v>1.1278918214402085</v>
      </c>
      <c r="Q168" s="83">
        <v>1.1763909623672972</v>
      </c>
    </row>
    <row r="169" spans="10:17" ht="15" customHeight="1">
      <c r="J169" s="78">
        <v>8.4312502166302714</v>
      </c>
      <c r="K169" s="78">
        <v>98.582528712842546</v>
      </c>
      <c r="L169" s="78">
        <v>-22.846469880586994</v>
      </c>
      <c r="M169" s="78">
        <v>204.72926122564951</v>
      </c>
      <c r="N169" s="78">
        <v>5.7768072741614968E-4</v>
      </c>
      <c r="O169" s="78">
        <v>0.5420113029044884</v>
      </c>
      <c r="P169" s="78">
        <v>1.1256109481915932</v>
      </c>
      <c r="Q169" s="83">
        <v>1.1688562181409623</v>
      </c>
    </row>
    <row r="170" spans="10:17" ht="15" customHeight="1">
      <c r="J170" s="78">
        <v>8.4826638013702578</v>
      </c>
      <c r="K170" s="78">
        <v>98.611346499270311</v>
      </c>
      <c r="L170" s="78">
        <v>-22.698308597314707</v>
      </c>
      <c r="M170" s="78">
        <v>204.58109994237722</v>
      </c>
      <c r="N170" s="78">
        <v>5.7768072741614968E-4</v>
      </c>
      <c r="O170" s="78">
        <v>0.54216974442726606</v>
      </c>
      <c r="P170" s="78">
        <v>1.124796350602802</v>
      </c>
      <c r="Q170" s="83">
        <v>1.1621114843029632</v>
      </c>
    </row>
    <row r="171" spans="10:17" ht="15" customHeight="1">
      <c r="J171" s="78">
        <v>8.5340773861102441</v>
      </c>
      <c r="K171" s="78">
        <v>98.669798190066643</v>
      </c>
      <c r="L171" s="78">
        <v>-22.253824747497845</v>
      </c>
      <c r="M171" s="78">
        <v>204.13661609256036</v>
      </c>
      <c r="N171" s="78">
        <v>5.7768072741614968E-4</v>
      </c>
      <c r="O171" s="78">
        <v>0.54249111452701038</v>
      </c>
      <c r="P171" s="78">
        <v>1.1223525578364286</v>
      </c>
      <c r="Q171" s="83">
        <v>1.1557952598586405</v>
      </c>
    </row>
    <row r="172" spans="10:17" ht="15" customHeight="1">
      <c r="J172" s="78">
        <v>8.5854909708502305</v>
      </c>
      <c r="K172" s="78">
        <v>98.609722501959197</v>
      </c>
      <c r="L172" s="78">
        <v>-22.164927977534489</v>
      </c>
      <c r="M172" s="78">
        <v>204.047719322597</v>
      </c>
      <c r="N172" s="78">
        <v>1.1553614548316579E-3</v>
      </c>
      <c r="O172" s="78">
        <v>0.5421608156149299</v>
      </c>
      <c r="P172" s="78">
        <v>1.1218637992831542</v>
      </c>
      <c r="Q172" s="83">
        <v>1.1481741294459809</v>
      </c>
    </row>
    <row r="173" spans="10:17" ht="15" customHeight="1">
      <c r="J173" s="78">
        <v>8.6369045555902169</v>
      </c>
      <c r="K173" s="78">
        <v>98.549648461565852</v>
      </c>
      <c r="L173" s="78">
        <v>-21.868605410989915</v>
      </c>
      <c r="M173" s="78">
        <v>203.75139675605243</v>
      </c>
      <c r="N173" s="78">
        <v>1.1553614548316579E-3</v>
      </c>
      <c r="O173" s="78">
        <v>0.5418305257620577</v>
      </c>
      <c r="P173" s="78">
        <v>1.1202346041055717</v>
      </c>
      <c r="Q173" s="83">
        <v>1.1406437519222685</v>
      </c>
    </row>
    <row r="174" spans="10:17" ht="15" customHeight="1">
      <c r="J174" s="78">
        <v>8.6883181403302014</v>
      </c>
      <c r="K174" s="78">
        <v>98.489576068886564</v>
      </c>
      <c r="L174" s="78">
        <v>-21.33522479120964</v>
      </c>
      <c r="M174" s="78">
        <v>203.21801613627215</v>
      </c>
      <c r="N174" s="78">
        <v>0</v>
      </c>
      <c r="O174" s="78">
        <v>0.54150024496839355</v>
      </c>
      <c r="P174" s="78">
        <v>1.1173020527859236</v>
      </c>
      <c r="Q174" s="83">
        <v>1.1332025161823602</v>
      </c>
    </row>
    <row r="175" spans="10:17" ht="15" customHeight="1">
      <c r="J175" s="78">
        <v>8.7397317250701896</v>
      </c>
      <c r="K175" s="78">
        <v>98.488769837230294</v>
      </c>
      <c r="L175" s="78">
        <v>-21.068534481319517</v>
      </c>
      <c r="M175" s="78">
        <v>202.95132582638203</v>
      </c>
      <c r="N175" s="78">
        <v>0</v>
      </c>
      <c r="O175" s="78">
        <v>0.54149581226945431</v>
      </c>
      <c r="P175" s="78">
        <v>1.1158357771260994</v>
      </c>
      <c r="Q175" s="83">
        <v>1.1265269535227447</v>
      </c>
    </row>
    <row r="176" spans="10:17" ht="15" customHeight="1">
      <c r="J176" s="78">
        <v>8.7911453098101742</v>
      </c>
      <c r="K176" s="78">
        <v>98.339803970015765</v>
      </c>
      <c r="L176" s="78">
        <v>-20.71294740146601</v>
      </c>
      <c r="M176" s="78">
        <v>202.59573874652853</v>
      </c>
      <c r="N176" s="78">
        <v>5.7768072741614968E-4</v>
      </c>
      <c r="O176" s="78">
        <v>0.5406767910409318</v>
      </c>
      <c r="P176" s="78">
        <v>1.1138807429130007</v>
      </c>
      <c r="Q176" s="83">
        <v>1.118244144725691</v>
      </c>
    </row>
    <row r="177" spans="10:17" ht="15" customHeight="1">
      <c r="J177" s="78">
        <v>8.8425588945501588</v>
      </c>
      <c r="K177" s="78">
        <v>98.516794573714407</v>
      </c>
      <c r="L177" s="78">
        <v>-21.127798994628478</v>
      </c>
      <c r="M177" s="78">
        <v>203.01059033969099</v>
      </c>
      <c r="N177" s="78">
        <v>0</v>
      </c>
      <c r="O177" s="78">
        <v>0.54164989356695836</v>
      </c>
      <c r="P177" s="78">
        <v>1.1161616161616161</v>
      </c>
      <c r="Q177" s="83">
        <v>1.1137438773031572</v>
      </c>
    </row>
    <row r="178" spans="10:17" ht="15" customHeight="1">
      <c r="J178" s="78">
        <v>8.8939724792901469</v>
      </c>
      <c r="K178" s="78">
        <v>98.456728771891392</v>
      </c>
      <c r="L178" s="78">
        <v>-20.090670011722437</v>
      </c>
      <c r="M178" s="78">
        <v>201.97346135678495</v>
      </c>
      <c r="N178" s="78">
        <v>5.7768072741614968E-4</v>
      </c>
      <c r="O178" s="78">
        <v>0.54131964901012697</v>
      </c>
      <c r="P178" s="78">
        <v>1.1104594330400781</v>
      </c>
      <c r="Q178" s="83">
        <v>1.1066302792406502</v>
      </c>
    </row>
    <row r="179" spans="10:17" ht="15" customHeight="1">
      <c r="J179" s="78">
        <v>8.9453860640301315</v>
      </c>
      <c r="K179" s="78">
        <v>98.337400104473602</v>
      </c>
      <c r="L179" s="78">
        <v>-19.823979701832286</v>
      </c>
      <c r="M179" s="78">
        <v>201.7067710468948</v>
      </c>
      <c r="N179" s="78">
        <v>1.1553614548316579E-3</v>
      </c>
      <c r="O179" s="78">
        <v>0.54066357447698765</v>
      </c>
      <c r="P179" s="78">
        <v>1.1089931573802538</v>
      </c>
      <c r="Q179" s="83">
        <v>1.0989359554980322</v>
      </c>
    </row>
    <row r="180" spans="10:17" ht="15" customHeight="1">
      <c r="J180" s="78">
        <v>8.9967996487701178</v>
      </c>
      <c r="K180" s="78">
        <v>98.306969854733225</v>
      </c>
      <c r="L180" s="78">
        <v>-19.94250872845015</v>
      </c>
      <c r="M180" s="78">
        <v>201.82530007351266</v>
      </c>
      <c r="N180" s="78">
        <v>0</v>
      </c>
      <c r="O180" s="78">
        <v>0.54049626755633096</v>
      </c>
      <c r="P180" s="78">
        <v>1.1096448354512871</v>
      </c>
      <c r="Q180" s="83">
        <v>1.0923176840937119</v>
      </c>
    </row>
    <row r="181" spans="10:17" ht="15" customHeight="1">
      <c r="J181" s="78">
        <v>9.0482132335101042</v>
      </c>
      <c r="K181" s="78">
        <v>98.246908996052483</v>
      </c>
      <c r="L181" s="78">
        <v>-19.083173285470878</v>
      </c>
      <c r="M181" s="78">
        <v>200.96596463053339</v>
      </c>
      <c r="N181" s="78">
        <v>5.7768072741614968E-4</v>
      </c>
      <c r="O181" s="78">
        <v>0.54016605017712438</v>
      </c>
      <c r="P181" s="78">
        <v>1.1049201694362984</v>
      </c>
      <c r="Q181" s="83">
        <v>1.0854471504228234</v>
      </c>
    </row>
    <row r="182" spans="10:17" ht="15" customHeight="1">
      <c r="J182" s="78">
        <v>9.0996268182500888</v>
      </c>
      <c r="K182" s="78">
        <v>98.127585271776908</v>
      </c>
      <c r="L182" s="78">
        <v>-18.668321692308439</v>
      </c>
      <c r="M182" s="78">
        <v>200.55111303737095</v>
      </c>
      <c r="N182" s="78">
        <v>5.7768072741614968E-4</v>
      </c>
      <c r="O182" s="78">
        <v>0.53951000282160966</v>
      </c>
      <c r="P182" s="78">
        <v>1.1026392961876832</v>
      </c>
      <c r="Q182" s="83">
        <v>1.0780029878401622</v>
      </c>
    </row>
    <row r="183" spans="10:17" ht="15" customHeight="1">
      <c r="J183" s="78">
        <v>9.1510404029900752</v>
      </c>
      <c r="K183" s="78">
        <v>98.126792221833256</v>
      </c>
      <c r="L183" s="78">
        <v>-18.194205585837125</v>
      </c>
      <c r="M183" s="78">
        <v>200.07699693089964</v>
      </c>
      <c r="N183" s="78">
        <v>5.7768072741614968E-4</v>
      </c>
      <c r="O183" s="78">
        <v>0.53950564259633604</v>
      </c>
      <c r="P183" s="78">
        <v>1.1000325839035516</v>
      </c>
      <c r="Q183" s="83">
        <v>1.0719377427406531</v>
      </c>
    </row>
    <row r="184" spans="10:17" ht="15" customHeight="1">
      <c r="J184" s="78">
        <v>9.2024539877300615</v>
      </c>
      <c r="K184" s="78">
        <v>98.066736306294715</v>
      </c>
      <c r="L184" s="78">
        <v>-18.105308815873769</v>
      </c>
      <c r="M184" s="78">
        <v>199.98810016093628</v>
      </c>
      <c r="N184" s="78">
        <v>0</v>
      </c>
      <c r="O184" s="78">
        <v>0.53917545239475395</v>
      </c>
      <c r="P184" s="78">
        <v>1.0995438253502769</v>
      </c>
      <c r="Q184" s="83">
        <v>1.0652962801908017</v>
      </c>
    </row>
    <row r="185" spans="10:17" ht="15" customHeight="1">
      <c r="J185" s="78">
        <v>9.2538675724700461</v>
      </c>
      <c r="K185" s="78">
        <v>97.94741752516137</v>
      </c>
      <c r="L185" s="78">
        <v>-17.453399169475659</v>
      </c>
      <c r="M185" s="78">
        <v>199.33619051453817</v>
      </c>
      <c r="N185" s="78">
        <v>5.7768072741614968E-4</v>
      </c>
      <c r="O185" s="78">
        <v>0.53851943221686382</v>
      </c>
      <c r="P185" s="78">
        <v>1.0959595959595958</v>
      </c>
      <c r="Q185" s="83">
        <v>1.0580882044142959</v>
      </c>
    </row>
    <row r="186" spans="10:17" ht="15" customHeight="1">
      <c r="J186" s="78">
        <v>9.3052811572100325</v>
      </c>
      <c r="K186" s="78">
        <v>97.857732648396549</v>
      </c>
      <c r="L186" s="78">
        <v>-16.831121779732058</v>
      </c>
      <c r="M186" s="78">
        <v>198.71391312479457</v>
      </c>
      <c r="N186" s="78">
        <v>5.7768072741614968E-4</v>
      </c>
      <c r="O186" s="78">
        <v>0.53802634061594001</v>
      </c>
      <c r="P186" s="78">
        <v>1.092538286086673</v>
      </c>
      <c r="Q186" s="83">
        <v>1.0512782441169204</v>
      </c>
    </row>
    <row r="187" spans="10:17" ht="15" customHeight="1">
      <c r="J187" s="78">
        <v>9.3566947419500188</v>
      </c>
      <c r="K187" s="78">
        <v>97.708784906036897</v>
      </c>
      <c r="L187" s="78">
        <v>-16.475534699878551</v>
      </c>
      <c r="M187" s="78">
        <v>198.35832604494107</v>
      </c>
      <c r="N187" s="78">
        <v>5.7768072741614968E-4</v>
      </c>
      <c r="O187" s="78">
        <v>0.53720741903870806</v>
      </c>
      <c r="P187" s="78">
        <v>1.0905832518735743</v>
      </c>
      <c r="Q187" s="83">
        <v>1.0439097492342067</v>
      </c>
    </row>
    <row r="188" spans="10:17" ht="15" customHeight="1">
      <c r="J188" s="78">
        <v>9.4081083266900052</v>
      </c>
      <c r="K188" s="78">
        <v>97.619103324700234</v>
      </c>
      <c r="L188" s="78">
        <v>-16.060683106716169</v>
      </c>
      <c r="M188" s="78">
        <v>197.94347445177868</v>
      </c>
      <c r="N188" s="78">
        <v>0</v>
      </c>
      <c r="O188" s="78">
        <v>0.53671434555620068</v>
      </c>
      <c r="P188" s="78">
        <v>1.0883023786249593</v>
      </c>
      <c r="Q188" s="83">
        <v>1.0372517369843779</v>
      </c>
    </row>
    <row r="189" spans="10:17" ht="15" customHeight="1">
      <c r="J189" s="78">
        <v>9.4595219114299898</v>
      </c>
      <c r="K189" s="78">
        <v>97.58868790438656</v>
      </c>
      <c r="L189" s="78">
        <v>-15.645831513553759</v>
      </c>
      <c r="M189" s="78">
        <v>197.52862285861627</v>
      </c>
      <c r="N189" s="78">
        <v>1.1553614548316579E-3</v>
      </c>
      <c r="O189" s="78">
        <v>0.53654712016841799</v>
      </c>
      <c r="P189" s="78">
        <v>1.086021505376344</v>
      </c>
      <c r="Q189" s="83">
        <v>1.0312926227040466</v>
      </c>
    </row>
    <row r="190" spans="10:17" ht="15" customHeight="1">
      <c r="J190" s="78">
        <v>9.5109354961699761</v>
      </c>
      <c r="K190" s="78">
        <v>97.528641875132493</v>
      </c>
      <c r="L190" s="78">
        <v>-15.319876690354704</v>
      </c>
      <c r="M190" s="78">
        <v>197.20266803541722</v>
      </c>
      <c r="N190" s="78">
        <v>1.1553614548316579E-3</v>
      </c>
      <c r="O190" s="78">
        <v>0.53621698432208531</v>
      </c>
      <c r="P190" s="78">
        <v>1.0842293906810034</v>
      </c>
      <c r="Q190" s="83">
        <v>1.0250863926651304</v>
      </c>
    </row>
    <row r="191" spans="10:17" ht="15" customHeight="1">
      <c r="J191" s="78">
        <v>9.5623490809099625</v>
      </c>
      <c r="K191" s="78">
        <v>97.527862006901429</v>
      </c>
      <c r="L191" s="78">
        <v>-14.756863813920006</v>
      </c>
      <c r="M191" s="78">
        <v>196.63965515898252</v>
      </c>
      <c r="N191" s="78">
        <v>1.1553614548316579E-3</v>
      </c>
      <c r="O191" s="78">
        <v>0.53621269657047721</v>
      </c>
      <c r="P191" s="78">
        <v>1.0811339198435972</v>
      </c>
      <c r="Q191" s="83">
        <v>1.0195666869430735</v>
      </c>
    </row>
    <row r="192" spans="10:17" ht="15" customHeight="1">
      <c r="J192" s="78">
        <v>9.6137626656499489</v>
      </c>
      <c r="K192" s="78">
        <v>97.319657989803261</v>
      </c>
      <c r="L192" s="78">
        <v>-14.608702530647719</v>
      </c>
      <c r="M192" s="78">
        <v>196.49149387571023</v>
      </c>
      <c r="N192" s="78">
        <v>1.1553614548316579E-3</v>
      </c>
      <c r="O192" s="78">
        <v>0.53506798125376998</v>
      </c>
      <c r="P192" s="78">
        <v>1.080319322254806</v>
      </c>
      <c r="Q192" s="83">
        <v>1.0119484439601552</v>
      </c>
    </row>
    <row r="193" spans="10:17" ht="15" customHeight="1">
      <c r="J193" s="78">
        <v>9.6651762503899334</v>
      </c>
      <c r="K193" s="78">
        <v>97.200352390382506</v>
      </c>
      <c r="L193" s="78">
        <v>-13.541941291087255</v>
      </c>
      <c r="M193" s="78">
        <v>195.42473263614977</v>
      </c>
      <c r="N193" s="78">
        <v>5.7768072741614968E-4</v>
      </c>
      <c r="O193" s="78">
        <v>0.53441203354954536</v>
      </c>
      <c r="P193" s="78">
        <v>1.07445421961551</v>
      </c>
      <c r="Q193" s="83">
        <v>1.0053310315756128</v>
      </c>
    </row>
    <row r="194" spans="10:17" ht="15" customHeight="1">
      <c r="J194" s="78">
        <v>9.7165898351299198</v>
      </c>
      <c r="K194" s="78">
        <v>97.140312951984782</v>
      </c>
      <c r="L194" s="78">
        <v>-13.630838061050611</v>
      </c>
      <c r="M194" s="78">
        <v>195.51362940611313</v>
      </c>
      <c r="N194" s="78">
        <v>0</v>
      </c>
      <c r="O194" s="78">
        <v>0.53408193394004566</v>
      </c>
      <c r="P194" s="78">
        <v>1.0749429781687845</v>
      </c>
      <c r="Q194" s="83">
        <v>0.99939359704329944</v>
      </c>
    </row>
    <row r="195" spans="10:17" ht="15" customHeight="1">
      <c r="J195" s="78">
        <v>9.7680034198699062</v>
      </c>
      <c r="K195" s="78">
        <v>97.080275161301088</v>
      </c>
      <c r="L195" s="78">
        <v>-13.453044521123871</v>
      </c>
      <c r="M195" s="78">
        <v>195.33583586618639</v>
      </c>
      <c r="N195" s="78">
        <v>1.7330421822471661E-3</v>
      </c>
      <c r="O195" s="78">
        <v>0.5337518433897539</v>
      </c>
      <c r="P195" s="78">
        <v>1.0739654610622351</v>
      </c>
      <c r="Q195" s="83">
        <v>0.99351868238655194</v>
      </c>
    </row>
    <row r="196" spans="10:17" ht="15" customHeight="1">
      <c r="J196" s="78">
        <v>9.8194170046098908</v>
      </c>
      <c r="K196" s="78">
        <v>96.960974505022605</v>
      </c>
      <c r="L196" s="78">
        <v>-13.127089697924845</v>
      </c>
      <c r="M196" s="78">
        <v>195.00988104298736</v>
      </c>
      <c r="N196" s="78">
        <v>5.7768072741614968E-4</v>
      </c>
      <c r="O196" s="78">
        <v>0.5330959228631541</v>
      </c>
      <c r="P196" s="78">
        <v>1.0721733463668948</v>
      </c>
      <c r="Q196" s="83">
        <v>0.98710176144655037</v>
      </c>
    </row>
    <row r="197" spans="10:17" ht="15" customHeight="1">
      <c r="J197" s="78">
        <v>9.8708305893498789</v>
      </c>
      <c r="K197" s="78">
        <v>97.315791602929494</v>
      </c>
      <c r="L197" s="78">
        <v>-18.638689435653987</v>
      </c>
      <c r="M197" s="78">
        <v>200.5214807807165</v>
      </c>
      <c r="N197" s="78">
        <v>1.1553614548316579E-3</v>
      </c>
      <c r="O197" s="78">
        <v>0.53504672367989403</v>
      </c>
      <c r="P197" s="78">
        <v>1.1024763766699248</v>
      </c>
      <c r="Q197" s="83">
        <v>0.98555490780234867</v>
      </c>
    </row>
    <row r="198" spans="10:17" ht="15" customHeight="1">
      <c r="J198" s="78">
        <v>9.9216664933624479</v>
      </c>
      <c r="K198" s="78">
        <v>97.640986715712103</v>
      </c>
      <c r="L198" s="78">
        <v>-17.216341116240045</v>
      </c>
      <c r="M198" s="78">
        <v>199.09913246130256</v>
      </c>
      <c r="N198" s="78">
        <v>-5.7768072741550837E-4</v>
      </c>
      <c r="O198" s="78">
        <v>0.5368346614522238</v>
      </c>
      <c r="P198" s="78">
        <v>1.0946562398175301</v>
      </c>
      <c r="Q198" s="83">
        <v>0.98378282007639473</v>
      </c>
    </row>
    <row r="199" spans="10:17" ht="15" customHeight="1">
      <c r="J199" s="78">
        <v>9.9736577588298481</v>
      </c>
      <c r="K199" s="78">
        <v>97.669843662032008</v>
      </c>
      <c r="L199" s="78">
        <v>-16.860754036386481</v>
      </c>
      <c r="M199" s="78">
        <v>198.743545381449</v>
      </c>
      <c r="N199" s="78">
        <v>1.1553614548316579E-3</v>
      </c>
      <c r="O199" s="78">
        <v>0.53699331827789987</v>
      </c>
      <c r="P199" s="78">
        <v>1.0927012056044312</v>
      </c>
      <c r="Q199" s="83">
        <v>0.97894383118226092</v>
      </c>
    </row>
    <row r="200" spans="10:17" ht="15" customHeight="1">
      <c r="J200" s="78">
        <v>10.025071343569836</v>
      </c>
      <c r="K200" s="78">
        <v>97.698710879882114</v>
      </c>
      <c r="L200" s="78">
        <v>-15.912521823443853</v>
      </c>
      <c r="M200" s="78">
        <v>197.79531316850637</v>
      </c>
      <c r="N200" s="78">
        <v>1.1553614548316579E-3</v>
      </c>
      <c r="O200" s="78">
        <v>0.53715203157692404</v>
      </c>
      <c r="P200" s="78">
        <v>1.0874877810361681</v>
      </c>
      <c r="Q200" s="83">
        <v>0.97421126737206942</v>
      </c>
    </row>
    <row r="201" spans="10:17" ht="15" customHeight="1">
      <c r="J201" s="78">
        <v>10.076484928309821</v>
      </c>
      <c r="K201" s="78">
        <v>97.549786205519538</v>
      </c>
      <c r="L201" s="78">
        <v>-15.319876690354704</v>
      </c>
      <c r="M201" s="78">
        <v>197.20266803541722</v>
      </c>
      <c r="N201" s="78">
        <v>5.7768072741614968E-4</v>
      </c>
      <c r="O201" s="78">
        <v>0.53633323682860712</v>
      </c>
      <c r="P201" s="78">
        <v>1.0842293906810034</v>
      </c>
      <c r="Q201" s="83">
        <v>0.96776257405805688</v>
      </c>
    </row>
    <row r="202" spans="10:17" ht="15" customHeight="1">
      <c r="J202" s="78">
        <v>10.127898513049807</v>
      </c>
      <c r="K202" s="78">
        <v>97.578656718797774</v>
      </c>
      <c r="L202" s="78">
        <v>-15.290244433700252</v>
      </c>
      <c r="M202" s="78">
        <v>197.17303577876277</v>
      </c>
      <c r="N202" s="78">
        <v>1.1553614548316579E-3</v>
      </c>
      <c r="O202" s="78">
        <v>0.53649196824604761</v>
      </c>
      <c r="P202" s="78">
        <v>1.0840664711632453</v>
      </c>
      <c r="Q202" s="83">
        <v>0.96313485274733224</v>
      </c>
    </row>
    <row r="203" spans="10:17" ht="15" customHeight="1">
      <c r="J203" s="78">
        <v>10.179312097789794</v>
      </c>
      <c r="K203" s="78">
        <v>97.429735339863356</v>
      </c>
      <c r="L203" s="78">
        <v>-14.697599300611074</v>
      </c>
      <c r="M203" s="78">
        <v>196.58039064567359</v>
      </c>
      <c r="N203" s="78">
        <v>5.7768072741614968E-4</v>
      </c>
      <c r="O203" s="78">
        <v>0.53567319161614702</v>
      </c>
      <c r="P203" s="78">
        <v>1.0808080808080807</v>
      </c>
      <c r="Q203" s="83">
        <v>0.9568072784827425</v>
      </c>
    </row>
    <row r="204" spans="10:17" ht="15" customHeight="1">
      <c r="J204" s="78">
        <v>10.23072568252978</v>
      </c>
      <c r="K204" s="78">
        <v>97.369712378606351</v>
      </c>
      <c r="L204" s="78">
        <v>-14.164218680830828</v>
      </c>
      <c r="M204" s="78">
        <v>196.04701002589334</v>
      </c>
      <c r="N204" s="78">
        <v>0</v>
      </c>
      <c r="O204" s="78">
        <v>0.53534318259872915</v>
      </c>
      <c r="P204" s="78">
        <v>1.0778755294884326</v>
      </c>
      <c r="Q204" s="83">
        <v>0.95141223712100809</v>
      </c>
    </row>
    <row r="205" spans="10:17" ht="15" customHeight="1">
      <c r="J205" s="78">
        <v>10.282139267269764</v>
      </c>
      <c r="K205" s="78">
        <v>97.457852348335763</v>
      </c>
      <c r="L205" s="78">
        <v>-13.927160627595185</v>
      </c>
      <c r="M205" s="78">
        <v>195.8099519726577</v>
      </c>
      <c r="N205" s="78">
        <v>1.7330421822471661E-3</v>
      </c>
      <c r="O205" s="78">
        <v>0.53582778022931088</v>
      </c>
      <c r="P205" s="78">
        <v>1.0765721733463667</v>
      </c>
      <c r="Q205" s="83">
        <v>0.94751212298516951</v>
      </c>
    </row>
    <row r="206" spans="10:17" ht="15" customHeight="1">
      <c r="J206" s="78">
        <v>10.333552852009751</v>
      </c>
      <c r="K206" s="78">
        <v>97.220039142580163</v>
      </c>
      <c r="L206" s="78">
        <v>-13.067825184615941</v>
      </c>
      <c r="M206" s="78">
        <v>194.95061652967846</v>
      </c>
      <c r="N206" s="78">
        <v>0</v>
      </c>
      <c r="O206" s="78">
        <v>0.53452027222376008</v>
      </c>
      <c r="P206" s="78">
        <v>1.0718475073313785</v>
      </c>
      <c r="Q206" s="83">
        <v>0.94049649956493198</v>
      </c>
    </row>
    <row r="207" spans="10:17" ht="15" customHeight="1">
      <c r="J207" s="78">
        <v>10.384966436749737</v>
      </c>
      <c r="K207" s="78">
        <v>97.248917894428814</v>
      </c>
      <c r="L207" s="78">
        <v>-13.097457441270365</v>
      </c>
      <c r="M207" s="78">
        <v>194.98024878633288</v>
      </c>
      <c r="N207" s="78">
        <v>5.7768072741614968E-4</v>
      </c>
      <c r="O207" s="78">
        <v>0.53467904893724172</v>
      </c>
      <c r="P207" s="78">
        <v>1.0720104268491364</v>
      </c>
      <c r="Q207" s="83">
        <v>0.93611839959031062</v>
      </c>
    </row>
    <row r="208" spans="10:17" ht="15" customHeight="1">
      <c r="J208" s="78">
        <v>10.436380021489722</v>
      </c>
      <c r="K208" s="78">
        <v>97.129637010719222</v>
      </c>
      <c r="L208" s="78">
        <v>-12.267754254945572</v>
      </c>
      <c r="M208" s="78">
        <v>194.15054560000809</v>
      </c>
      <c r="N208" s="78">
        <v>0</v>
      </c>
      <c r="O208" s="78">
        <v>0.53402323712114041</v>
      </c>
      <c r="P208" s="78">
        <v>1.0674486803519061</v>
      </c>
      <c r="Q208" s="83">
        <v>0.93036379014610782</v>
      </c>
    </row>
    <row r="209" spans="10:17" ht="15" customHeight="1">
      <c r="J209" s="78">
        <v>10.487793606229708</v>
      </c>
      <c r="K209" s="78">
        <v>97.217783571304892</v>
      </c>
      <c r="L209" s="78">
        <v>-12.445547794872311</v>
      </c>
      <c r="M209" s="78">
        <v>194.32833913993483</v>
      </c>
      <c r="N209" s="78">
        <v>1.1553614548316579E-3</v>
      </c>
      <c r="O209" s="78">
        <v>0.53450787098855468</v>
      </c>
      <c r="P209" s="78">
        <v>1.0684261974584555</v>
      </c>
      <c r="Q209" s="83">
        <v>0.92664340023664704</v>
      </c>
    </row>
    <row r="210" spans="10:17" ht="15" customHeight="1">
      <c r="J210" s="78">
        <v>10.539207190969694</v>
      </c>
      <c r="K210" s="78">
        <v>96.950344699751213</v>
      </c>
      <c r="L210" s="78">
        <v>-11.438051068620723</v>
      </c>
      <c r="M210" s="78">
        <v>193.32084241368324</v>
      </c>
      <c r="N210" s="78">
        <v>1.1553614548316579E-3</v>
      </c>
      <c r="O210" s="78">
        <v>0.53303747970207893</v>
      </c>
      <c r="P210" s="78">
        <v>1.0628869338546756</v>
      </c>
      <c r="Q210" s="83">
        <v>0.91958537919300343</v>
      </c>
    </row>
    <row r="211" spans="10:17" ht="15" customHeight="1">
      <c r="J211" s="78">
        <v>10.590620775709681</v>
      </c>
      <c r="K211" s="78">
        <v>96.979230042456138</v>
      </c>
      <c r="L211" s="78">
        <v>-10.815773678877093</v>
      </c>
      <c r="M211" s="78">
        <v>192.69856502393961</v>
      </c>
      <c r="N211" s="78">
        <v>5.7768072741614968E-4</v>
      </c>
      <c r="O211" s="78">
        <v>0.53319629265239332</v>
      </c>
      <c r="P211" s="78">
        <v>1.0594656239817528</v>
      </c>
      <c r="Q211" s="83">
        <v>0.91539387356850666</v>
      </c>
    </row>
    <row r="212" spans="10:17" ht="15" customHeight="1">
      <c r="J212" s="78">
        <v>10.642034360449665</v>
      </c>
      <c r="K212" s="78">
        <v>96.830323492948381</v>
      </c>
      <c r="L212" s="78">
        <v>-10.608347882295874</v>
      </c>
      <c r="M212" s="78">
        <v>192.49113922735839</v>
      </c>
      <c r="N212" s="78">
        <v>5.7768072741614968E-4</v>
      </c>
      <c r="O212" s="78">
        <v>0.53237759755536651</v>
      </c>
      <c r="P212" s="78">
        <v>1.0583251873574451</v>
      </c>
      <c r="Q212" s="83">
        <v>0.90957221077908723</v>
      </c>
    </row>
    <row r="213" spans="10:17" ht="15" customHeight="1">
      <c r="J213" s="78">
        <v>10.692870264462236</v>
      </c>
      <c r="K213" s="78">
        <v>96.711059193920676</v>
      </c>
      <c r="L213" s="78">
        <v>-9.8971737225889171</v>
      </c>
      <c r="M213" s="78">
        <v>191.77996506765143</v>
      </c>
      <c r="N213" s="78">
        <v>5.7768072741614968E-4</v>
      </c>
      <c r="O213" s="78">
        <v>0.53172187692261319</v>
      </c>
      <c r="P213" s="78">
        <v>1.0544151189312478</v>
      </c>
      <c r="Q213" s="83">
        <v>0.90413257164910077</v>
      </c>
    </row>
    <row r="214" spans="10:17" ht="15" customHeight="1">
      <c r="J214" s="78">
        <v>10.74486152992964</v>
      </c>
      <c r="K214" s="78">
        <v>96.710308877001907</v>
      </c>
      <c r="L214" s="78">
        <v>-10.13423177582456</v>
      </c>
      <c r="M214" s="78">
        <v>192.01702312088707</v>
      </c>
      <c r="N214" s="78">
        <v>5.7768072741614968E-4</v>
      </c>
      <c r="O214" s="78">
        <v>0.53171775164548718</v>
      </c>
      <c r="P214" s="78">
        <v>1.0557184750733135</v>
      </c>
      <c r="Q214" s="83">
        <v>0.89975075359485535</v>
      </c>
    </row>
    <row r="215" spans="10:17" ht="15" customHeight="1">
      <c r="J215" s="78">
        <v>10.796275114669623</v>
      </c>
      <c r="K215" s="78">
        <v>96.650304040599764</v>
      </c>
      <c r="L215" s="78">
        <v>-9.1563673062274802</v>
      </c>
      <c r="M215" s="78">
        <v>191.03915865128999</v>
      </c>
      <c r="N215" s="78">
        <v>5.7768072741614968E-4</v>
      </c>
      <c r="O215" s="78">
        <v>0.53138784227935965</v>
      </c>
      <c r="P215" s="78">
        <v>1.0503421309872922</v>
      </c>
      <c r="Q215" s="83">
        <v>0.89491020491487416</v>
      </c>
    </row>
    <row r="216" spans="10:17" ht="15" customHeight="1">
      <c r="J216" s="78">
        <v>10.847688699409611</v>
      </c>
      <c r="K216" s="78">
        <v>96.590300851911692</v>
      </c>
      <c r="L216" s="78">
        <v>-8.6822511997561378</v>
      </c>
      <c r="M216" s="78">
        <v>190.56504254481865</v>
      </c>
      <c r="N216" s="78">
        <v>1.1553614548316579E-3</v>
      </c>
      <c r="O216" s="78">
        <v>0.53105794197244038</v>
      </c>
      <c r="P216" s="78">
        <v>1.0477354187031604</v>
      </c>
      <c r="Q216" s="83">
        <v>0.89011555584583257</v>
      </c>
    </row>
    <row r="217" spans="10:17" ht="15" customHeight="1">
      <c r="J217" s="78">
        <v>10.89852460342218</v>
      </c>
      <c r="K217" s="78">
        <v>96.382146299722351</v>
      </c>
      <c r="L217" s="78">
        <v>-8.5044576598293986</v>
      </c>
      <c r="M217" s="78">
        <v>190.38724900489191</v>
      </c>
      <c r="N217" s="78">
        <v>5.7768072741614968E-4</v>
      </c>
      <c r="O217" s="78">
        <v>0.52991349861608994</v>
      </c>
      <c r="P217" s="78">
        <v>1.0467579015966111</v>
      </c>
      <c r="Q217" s="83">
        <v>0.88405370008278172</v>
      </c>
    </row>
    <row r="218" spans="10:17" ht="15" customHeight="1">
      <c r="J218" s="78">
        <v>10.95051586888958</v>
      </c>
      <c r="K218" s="78">
        <v>96.381402647714452</v>
      </c>
      <c r="L218" s="78">
        <v>-7.9414447833946724</v>
      </c>
      <c r="M218" s="78">
        <v>189.82423612845719</v>
      </c>
      <c r="N218" s="78">
        <v>5.7768072741614968E-4</v>
      </c>
      <c r="O218" s="78">
        <v>0.529909409982952</v>
      </c>
      <c r="P218" s="78">
        <v>1.0436624307592046</v>
      </c>
      <c r="Q218" s="83">
        <v>0.87984956610768528</v>
      </c>
    </row>
    <row r="219" spans="10:17" ht="15" customHeight="1">
      <c r="J219" s="78">
        <v>11.001929453629568</v>
      </c>
      <c r="K219" s="78">
        <v>96.43993342878646</v>
      </c>
      <c r="L219" s="78">
        <v>-8.1192383233214684</v>
      </c>
      <c r="M219" s="78">
        <v>190.00202966838398</v>
      </c>
      <c r="N219" s="78">
        <v>1.1553614548316579E-3</v>
      </c>
      <c r="O219" s="78">
        <v>0.53023121492469039</v>
      </c>
      <c r="P219" s="78">
        <v>1.0446399478657544</v>
      </c>
      <c r="Q219" s="83">
        <v>0.87626990834998841</v>
      </c>
    </row>
    <row r="220" spans="10:17" ht="15" customHeight="1">
      <c r="J220" s="78">
        <v>11.053343038369553</v>
      </c>
      <c r="K220" s="78">
        <v>96.379936830954705</v>
      </c>
      <c r="L220" s="78">
        <v>-8.0599738100125364</v>
      </c>
      <c r="M220" s="78">
        <v>189.94276515507505</v>
      </c>
      <c r="N220" s="78">
        <v>1.7330421822471661E-3</v>
      </c>
      <c r="O220" s="78">
        <v>0.52990135085460399</v>
      </c>
      <c r="P220" s="78">
        <v>1.0443141088302379</v>
      </c>
      <c r="Q220" s="83">
        <v>0.87165122992898858</v>
      </c>
    </row>
    <row r="221" spans="10:17" ht="15" customHeight="1">
      <c r="J221" s="78">
        <v>11.104756623109539</v>
      </c>
      <c r="K221" s="78">
        <v>96.290309624182584</v>
      </c>
      <c r="L221" s="78">
        <v>-7.1710061103788121</v>
      </c>
      <c r="M221" s="78">
        <v>189.05379745544133</v>
      </c>
      <c r="N221" s="78">
        <v>1.1553614548316579E-3</v>
      </c>
      <c r="O221" s="78">
        <v>0.52940857632596772</v>
      </c>
      <c r="P221" s="78">
        <v>1.0394265232974911</v>
      </c>
      <c r="Q221" s="83">
        <v>0.86680849119314207</v>
      </c>
    </row>
    <row r="222" spans="10:17" ht="15" customHeight="1">
      <c r="J222" s="78">
        <v>11.156170207849526</v>
      </c>
      <c r="K222" s="78">
        <v>96.259948578433452</v>
      </c>
      <c r="L222" s="78">
        <v>-6.7857867738708535</v>
      </c>
      <c r="M222" s="78">
        <v>188.66857811893337</v>
      </c>
      <c r="N222" s="78">
        <v>1.1553614548316579E-3</v>
      </c>
      <c r="O222" s="78">
        <v>0.52924164989205602</v>
      </c>
      <c r="P222" s="78">
        <v>1.037308569566634</v>
      </c>
      <c r="Q222" s="83">
        <v>0.86254162940246071</v>
      </c>
    </row>
    <row r="223" spans="10:17" ht="15" customHeight="1">
      <c r="J223" s="78">
        <v>11.20758379258951</v>
      </c>
      <c r="K223" s="78">
        <v>96.318485950361747</v>
      </c>
      <c r="L223" s="78">
        <v>-7.1413738537243319</v>
      </c>
      <c r="M223" s="78">
        <v>189.02416519878685</v>
      </c>
      <c r="N223" s="78">
        <v>1.7330421822471661E-3</v>
      </c>
      <c r="O223" s="78">
        <v>0.52956349107062717</v>
      </c>
      <c r="P223" s="78">
        <v>1.0392636037797327</v>
      </c>
      <c r="Q223" s="83">
        <v>0.85910711392842343</v>
      </c>
    </row>
    <row r="224" spans="10:17" ht="15" customHeight="1">
      <c r="J224" s="78">
        <v>11.258997377329498</v>
      </c>
      <c r="K224" s="78">
        <v>96.199231430077418</v>
      </c>
      <c r="L224" s="78">
        <v>-6.1635093841272237</v>
      </c>
      <c r="M224" s="78">
        <v>188.04630072918974</v>
      </c>
      <c r="N224" s="78">
        <v>1.1553614548316579E-3</v>
      </c>
      <c r="O224" s="78">
        <v>0.52890782420185734</v>
      </c>
      <c r="P224" s="78">
        <v>1.0338872596937112</v>
      </c>
      <c r="Q224" s="83">
        <v>0.85412485604602362</v>
      </c>
    </row>
    <row r="225" spans="10:17" ht="15" customHeight="1">
      <c r="J225" s="78">
        <v>11.310410962069483</v>
      </c>
      <c r="K225" s="78">
        <v>96.139243070816036</v>
      </c>
      <c r="L225" s="78">
        <v>-5.9857158442004561</v>
      </c>
      <c r="M225" s="78">
        <v>187.86850718926297</v>
      </c>
      <c r="N225" s="78">
        <v>5.7768072741614968E-4</v>
      </c>
      <c r="O225" s="78">
        <v>0.52857800542781197</v>
      </c>
      <c r="P225" s="78">
        <v>1.0329097425871618</v>
      </c>
      <c r="Q225" s="83">
        <v>0.84971189026092775</v>
      </c>
    </row>
    <row r="226" spans="10:17" ht="15" customHeight="1">
      <c r="J226" s="78">
        <v>11.361824546809469</v>
      </c>
      <c r="K226" s="78">
        <v>96.168153129232124</v>
      </c>
      <c r="L226" s="78">
        <v>-5.9264513308915809</v>
      </c>
      <c r="M226" s="78">
        <v>187.8092426759541</v>
      </c>
      <c r="N226" s="78">
        <v>0</v>
      </c>
      <c r="O226" s="78">
        <v>0.52873695426624956</v>
      </c>
      <c r="P226" s="78">
        <v>1.0325839035516455</v>
      </c>
      <c r="Q226" s="83">
        <v>0.84612129367454125</v>
      </c>
    </row>
    <row r="227" spans="10:17" ht="15" customHeight="1">
      <c r="J227" s="78">
        <v>11.413238131549456</v>
      </c>
      <c r="K227" s="78">
        <v>96.108168065398928</v>
      </c>
      <c r="L227" s="78">
        <v>-5.8671868175826489</v>
      </c>
      <c r="M227" s="78">
        <v>187.74997816264516</v>
      </c>
      <c r="N227" s="78">
        <v>5.7768072741614968E-4</v>
      </c>
      <c r="O227" s="78">
        <v>0.52840715361062074</v>
      </c>
      <c r="P227" s="78">
        <v>1.032258064516129</v>
      </c>
      <c r="Q227" s="83">
        <v>0.84178416913149601</v>
      </c>
    </row>
    <row r="228" spans="10:17" ht="15" customHeight="1">
      <c r="J228" s="78">
        <v>11.46465171628944</v>
      </c>
      <c r="K228" s="78">
        <v>96.107449162588708</v>
      </c>
      <c r="L228" s="78">
        <v>-5.6301287643470062</v>
      </c>
      <c r="M228" s="78">
        <v>187.51292010940952</v>
      </c>
      <c r="N228" s="78">
        <v>5.7768072741614968E-4</v>
      </c>
      <c r="O228" s="78">
        <v>0.5284032010497165</v>
      </c>
      <c r="P228" s="78">
        <v>1.0309547083740633</v>
      </c>
      <c r="Q228" s="83">
        <v>0.83800289142099682</v>
      </c>
    </row>
    <row r="229" spans="10:17" ht="15" customHeight="1">
      <c r="J229" s="78">
        <v>11.516065301029426</v>
      </c>
      <c r="K229" s="78">
        <v>96.136364164147011</v>
      </c>
      <c r="L229" s="78">
        <v>-5.3041739411479796</v>
      </c>
      <c r="M229" s="78">
        <v>187.18696528621049</v>
      </c>
      <c r="N229" s="78">
        <v>5.7768072741614968E-4</v>
      </c>
      <c r="O229" s="78">
        <v>0.52856217706577868</v>
      </c>
      <c r="P229" s="78">
        <v>1.0291625936787228</v>
      </c>
      <c r="Q229" s="83">
        <v>0.8345127034562756</v>
      </c>
    </row>
    <row r="230" spans="10:17" ht="15" customHeight="1">
      <c r="J230" s="78">
        <v>11.567478885769411</v>
      </c>
      <c r="K230" s="78">
        <v>96.194913070073881</v>
      </c>
      <c r="L230" s="78">
        <v>-5.0967481445667318</v>
      </c>
      <c r="M230" s="78">
        <v>186.97953948962925</v>
      </c>
      <c r="N230" s="78">
        <v>1.1553614548316579E-3</v>
      </c>
      <c r="O230" s="78">
        <v>0.5288840816588074</v>
      </c>
      <c r="P230" s="78">
        <v>1.028022157054415</v>
      </c>
      <c r="Q230" s="83">
        <v>0.83130972384689539</v>
      </c>
    </row>
    <row r="231" spans="10:17" ht="15" customHeight="1">
      <c r="J231" s="78">
        <v>11.618314789781984</v>
      </c>
      <c r="K231" s="78">
        <v>96.105310353308454</v>
      </c>
      <c r="L231" s="78">
        <v>-4.6818965514043498</v>
      </c>
      <c r="M231" s="78">
        <v>186.56468789646686</v>
      </c>
      <c r="N231" s="78">
        <v>5.7768072741614968E-4</v>
      </c>
      <c r="O231" s="78">
        <v>0.52839144177736075</v>
      </c>
      <c r="P231" s="78">
        <v>1.0257412838058</v>
      </c>
      <c r="Q231" s="83">
        <v>0.82690111090005147</v>
      </c>
    </row>
    <row r="232" spans="10:17" ht="15" customHeight="1">
      <c r="J232" s="78">
        <v>11.670306055249384</v>
      </c>
      <c r="K232" s="78">
        <v>96.015693258525218</v>
      </c>
      <c r="L232" s="78">
        <v>-4.6226320380954178</v>
      </c>
      <c r="M232" s="78">
        <v>186.50542338315793</v>
      </c>
      <c r="N232" s="78">
        <v>1.1553614548316579E-3</v>
      </c>
      <c r="O232" s="78">
        <v>0.52789872284490702</v>
      </c>
      <c r="P232" s="78">
        <v>1.0254154447702835</v>
      </c>
      <c r="Q232" s="83">
        <v>0.82244935578716416</v>
      </c>
    </row>
    <row r="233" spans="10:17" ht="15" customHeight="1">
      <c r="J233" s="78">
        <v>11.721719639989372</v>
      </c>
      <c r="K233" s="78">
        <v>95.926085824322016</v>
      </c>
      <c r="L233" s="78">
        <v>-4.05961916166072</v>
      </c>
      <c r="M233" s="78">
        <v>185.94241050672323</v>
      </c>
      <c r="N233" s="78">
        <v>0</v>
      </c>
      <c r="O233" s="78">
        <v>0.52740605702676924</v>
      </c>
      <c r="P233" s="78">
        <v>1.022319973932877</v>
      </c>
      <c r="Q233" s="83">
        <v>0.81807748761062082</v>
      </c>
    </row>
    <row r="234" spans="10:17" ht="15" customHeight="1">
      <c r="J234" s="78">
        <v>11.773133224729355</v>
      </c>
      <c r="K234" s="78">
        <v>95.955009064450721</v>
      </c>
      <c r="L234" s="78">
        <v>-3.1706514620269672</v>
      </c>
      <c r="M234" s="78">
        <v>185.05344280708948</v>
      </c>
      <c r="N234" s="78">
        <v>0</v>
      </c>
      <c r="O234" s="78">
        <v>0.52756507833887256</v>
      </c>
      <c r="P234" s="78">
        <v>1.0174323884001302</v>
      </c>
      <c r="Q234" s="83">
        <v>0.81475059310661579</v>
      </c>
    </row>
    <row r="235" spans="10:17" ht="15" customHeight="1">
      <c r="J235" s="78">
        <v>11.824546809469341</v>
      </c>
      <c r="K235" s="78">
        <v>95.865404925675648</v>
      </c>
      <c r="L235" s="78">
        <v>-3.3780772586081582</v>
      </c>
      <c r="M235" s="78">
        <v>185.26086860367067</v>
      </c>
      <c r="N235" s="78">
        <v>5.7768072741614968E-4</v>
      </c>
      <c r="O235" s="78">
        <v>0.5270724306391511</v>
      </c>
      <c r="P235" s="78">
        <v>1.0185728250244377</v>
      </c>
      <c r="Q235" s="83">
        <v>0.81045024541824373</v>
      </c>
    </row>
    <row r="236" spans="10:17" ht="15" customHeight="1">
      <c r="J236" s="78">
        <v>11.875960394209329</v>
      </c>
      <c r="K236" s="78">
        <v>95.805434691269141</v>
      </c>
      <c r="L236" s="78">
        <v>-3.1706514620269672</v>
      </c>
      <c r="M236" s="78">
        <v>185.05344280708948</v>
      </c>
      <c r="N236" s="78">
        <v>1.1553614548316579E-3</v>
      </c>
      <c r="O236" s="78">
        <v>0.52674271151639618</v>
      </c>
      <c r="P236" s="78">
        <v>1.0174323884001302</v>
      </c>
      <c r="Q236" s="83">
        <v>0.80643666047615792</v>
      </c>
    </row>
    <row r="237" spans="10:17" ht="15" customHeight="1">
      <c r="J237" s="78">
        <v>11.927373978949312</v>
      </c>
      <c r="K237" s="78">
        <v>95.804730617885625</v>
      </c>
      <c r="L237" s="78">
        <v>-3.2595482319903795</v>
      </c>
      <c r="M237" s="78">
        <v>185.14233957705289</v>
      </c>
      <c r="N237" s="78">
        <v>1.1553614548316579E-3</v>
      </c>
      <c r="O237" s="78">
        <v>0.52673884048836594</v>
      </c>
      <c r="P237" s="78">
        <v>1.0179211469534051</v>
      </c>
      <c r="Q237" s="83">
        <v>0.80295456902899853</v>
      </c>
    </row>
    <row r="238" spans="10:17" ht="15" customHeight="1">
      <c r="J238" s="78">
        <v>11.978787563689298</v>
      </c>
      <c r="K238" s="78">
        <v>95.80402819221618</v>
      </c>
      <c r="L238" s="78">
        <v>-2.3409482757021749</v>
      </c>
      <c r="M238" s="78">
        <v>184.22373962076469</v>
      </c>
      <c r="N238" s="78">
        <v>1.1553614548316579E-3</v>
      </c>
      <c r="O238" s="78">
        <v>0.52673497851954387</v>
      </c>
      <c r="P238" s="78">
        <v>1.0128706419028999</v>
      </c>
      <c r="Q238" s="83">
        <v>0.79950238197549173</v>
      </c>
    </row>
    <row r="239" spans="10:17" ht="15" customHeight="1">
      <c r="J239" s="78">
        <v>12.030201148429285</v>
      </c>
      <c r="K239" s="78">
        <v>95.892224184224176</v>
      </c>
      <c r="L239" s="78">
        <v>-2.7854321255190087</v>
      </c>
      <c r="M239" s="78">
        <v>184.66822347058152</v>
      </c>
      <c r="N239" s="78">
        <v>5.7768072741614968E-4</v>
      </c>
      <c r="O239" s="78">
        <v>0.52721988416320464</v>
      </c>
      <c r="P239" s="78">
        <v>1.0153144346692733</v>
      </c>
      <c r="Q239" s="83">
        <v>0.79681866257077216</v>
      </c>
    </row>
    <row r="240" spans="10:17" ht="15" customHeight="1">
      <c r="J240" s="78">
        <v>12.081614733169269</v>
      </c>
      <c r="K240" s="78">
        <v>95.802628284019505</v>
      </c>
      <c r="L240" s="78">
        <v>-2.2224192490843109</v>
      </c>
      <c r="M240" s="78">
        <v>184.10521059414683</v>
      </c>
      <c r="N240" s="78">
        <v>5.7768072741614968E-4</v>
      </c>
      <c r="O240" s="78">
        <v>0.52672728175952421</v>
      </c>
      <c r="P240" s="78">
        <v>1.0122189638318668</v>
      </c>
      <c r="Q240" s="83">
        <v>0.79268619394355477</v>
      </c>
    </row>
    <row r="241" spans="10:17" ht="15" customHeight="1">
      <c r="J241" s="78">
        <v>12.133028317909256</v>
      </c>
      <c r="K241" s="78">
        <v>95.801930801492276</v>
      </c>
      <c r="L241" s="78">
        <v>-2.5187418156288857</v>
      </c>
      <c r="M241" s="78">
        <v>184.4015331606914</v>
      </c>
      <c r="N241" s="78">
        <v>5.7768072741614968E-4</v>
      </c>
      <c r="O241" s="78">
        <v>0.52672344696832674</v>
      </c>
      <c r="P241" s="78">
        <v>1.0138481590094492</v>
      </c>
      <c r="Q241" s="83">
        <v>0.78932144558992268</v>
      </c>
    </row>
    <row r="242" spans="10:17" ht="15" customHeight="1">
      <c r="J242" s="78">
        <v>12.184441902649242</v>
      </c>
      <c r="K242" s="78">
        <v>95.593809170097941</v>
      </c>
      <c r="L242" s="78">
        <v>-1.8075676559219289</v>
      </c>
      <c r="M242" s="78">
        <v>183.69035900098444</v>
      </c>
      <c r="N242" s="78">
        <v>5.7768072741614968E-4</v>
      </c>
      <c r="O242" s="78">
        <v>0.52557918461203001</v>
      </c>
      <c r="P242" s="78">
        <v>1.0099380905832518</v>
      </c>
      <c r="Q242" s="83">
        <v>0.78428272418931333</v>
      </c>
    </row>
    <row r="243" spans="10:17" ht="15" customHeight="1">
      <c r="J243" s="78">
        <v>12.23585548738923</v>
      </c>
      <c r="K243" s="78">
        <v>95.800540779580089</v>
      </c>
      <c r="L243" s="78">
        <v>-1.6001418593406811</v>
      </c>
      <c r="M243" s="78">
        <v>183.4829332044032</v>
      </c>
      <c r="N243" s="78">
        <v>5.7768072741614968E-4</v>
      </c>
      <c r="O243" s="78">
        <v>0.5267158045635566</v>
      </c>
      <c r="P243" s="78">
        <v>1.0087976539589441</v>
      </c>
      <c r="Q243" s="83">
        <v>0.78267681887503004</v>
      </c>
    </row>
    <row r="244" spans="10:17" ht="15" customHeight="1">
      <c r="J244" s="78">
        <v>12.287269072129215</v>
      </c>
      <c r="K244" s="78">
        <v>95.681319213577254</v>
      </c>
      <c r="L244" s="78">
        <v>-1.3630838061050383</v>
      </c>
      <c r="M244" s="78">
        <v>183.24587515116755</v>
      </c>
      <c r="N244" s="78">
        <v>5.7768072741614968E-4</v>
      </c>
      <c r="O244" s="78">
        <v>0.52606031887895077</v>
      </c>
      <c r="P244" s="78">
        <v>1.0074942978168784</v>
      </c>
      <c r="Q244" s="83">
        <v>0.7784315812029865</v>
      </c>
    </row>
    <row r="245" spans="10:17" ht="15" customHeight="1">
      <c r="J245" s="78">
        <v>12.338682656869199</v>
      </c>
      <c r="K245" s="78">
        <v>95.710260578560778</v>
      </c>
      <c r="L245" s="78">
        <v>-1.6297741159951613</v>
      </c>
      <c r="M245" s="78">
        <v>183.51256546105768</v>
      </c>
      <c r="N245" s="78">
        <v>0</v>
      </c>
      <c r="O245" s="78">
        <v>0.52621943984234432</v>
      </c>
      <c r="P245" s="78">
        <v>1.0089605734767024</v>
      </c>
      <c r="Q245" s="83">
        <v>0.77542252240808862</v>
      </c>
    </row>
    <row r="246" spans="10:17" ht="15" customHeight="1">
      <c r="J246" s="78">
        <v>12.390096241609184</v>
      </c>
      <c r="K246" s="78">
        <v>95.620674564640566</v>
      </c>
      <c r="L246" s="78">
        <v>-1.0963934962149438</v>
      </c>
      <c r="M246" s="78">
        <v>182.97918484127746</v>
      </c>
      <c r="N246" s="78">
        <v>0</v>
      </c>
      <c r="O246" s="78">
        <v>0.52572689179391319</v>
      </c>
      <c r="P246" s="78">
        <v>1.0060280221570543</v>
      </c>
      <c r="Q246" s="83">
        <v>0.77148180620984219</v>
      </c>
    </row>
    <row r="247" spans="10:17" ht="15" customHeight="1">
      <c r="J247" s="78">
        <v>12.441509826349172</v>
      </c>
      <c r="K247" s="78">
        <v>95.531090198434455</v>
      </c>
      <c r="L247" s="78">
        <v>-0.74080641636140854</v>
      </c>
      <c r="M247" s="78">
        <v>182.62359776142392</v>
      </c>
      <c r="N247" s="78">
        <v>-5.7768072741550837E-4</v>
      </c>
      <c r="O247" s="78">
        <v>0.52523435280469044</v>
      </c>
      <c r="P247" s="78">
        <v>1.0040729879439554</v>
      </c>
      <c r="Q247" s="83">
        <v>0.76757367266992693</v>
      </c>
    </row>
    <row r="248" spans="10:17" ht="15" customHeight="1">
      <c r="J248" s="78">
        <v>12.492923411089157</v>
      </c>
      <c r="K248" s="78">
        <v>95.619301019869155</v>
      </c>
      <c r="L248" s="78">
        <v>-1.1556580095238758</v>
      </c>
      <c r="M248" s="78">
        <v>183.03844935458639</v>
      </c>
      <c r="N248" s="78">
        <v>0</v>
      </c>
      <c r="O248" s="78">
        <v>0.52571933998122511</v>
      </c>
      <c r="P248" s="78">
        <v>1.0063538611925709</v>
      </c>
      <c r="Q248" s="83">
        <v>0.76512087352018376</v>
      </c>
    </row>
    <row r="249" spans="10:17" ht="15" customHeight="1">
      <c r="J249" s="78">
        <v>12.544336995829145</v>
      </c>
      <c r="K249" s="78">
        <v>95.677881232363461</v>
      </c>
      <c r="L249" s="78">
        <v>-0.74080641636140854</v>
      </c>
      <c r="M249" s="78">
        <v>182.62359776142392</v>
      </c>
      <c r="N249" s="78">
        <v>1.1553614548316579E-3</v>
      </c>
      <c r="O249" s="78">
        <v>0.52604141669920979</v>
      </c>
      <c r="P249" s="78">
        <v>1.0040729879439554</v>
      </c>
      <c r="Q249" s="83">
        <v>0.76245197315272983</v>
      </c>
    </row>
    <row r="250" spans="10:17" ht="15" customHeight="1">
      <c r="J250" s="78">
        <v>12.595750580569129</v>
      </c>
      <c r="K250" s="78">
        <v>95.558669552645085</v>
      </c>
      <c r="L250" s="78">
        <v>-8.8896769963355382E-2</v>
      </c>
      <c r="M250" s="78">
        <v>181.97168811502587</v>
      </c>
      <c r="N250" s="78">
        <v>1.1553614548316579E-3</v>
      </c>
      <c r="O250" s="78">
        <v>0.52538598536985326</v>
      </c>
      <c r="P250" s="78">
        <v>1.0004887585532747</v>
      </c>
      <c r="Q250" s="83">
        <v>0.75839333791883157</v>
      </c>
    </row>
    <row r="251" spans="10:17" ht="15" customHeight="1">
      <c r="J251" s="78">
        <v>12.647164165309116</v>
      </c>
      <c r="K251" s="78">
        <v>95.617253060567563</v>
      </c>
      <c r="L251" s="78">
        <v>0</v>
      </c>
      <c r="M251" s="78">
        <v>181.88279134506251</v>
      </c>
      <c r="N251" s="78">
        <v>0</v>
      </c>
      <c r="O251" s="78">
        <v>0.52570808020625448</v>
      </c>
      <c r="P251" s="78">
        <v>1</v>
      </c>
      <c r="Q251" s="83">
        <v>0.75577351193096565</v>
      </c>
    </row>
    <row r="252" spans="10:17" ht="15" customHeight="1">
      <c r="J252" s="78">
        <v>12.698577750049104</v>
      </c>
      <c r="K252" s="78">
        <v>95.557309189586263</v>
      </c>
      <c r="L252" s="78">
        <v>0.26669030989015141</v>
      </c>
      <c r="M252" s="78">
        <v>181.61610103517236</v>
      </c>
      <c r="N252" s="78">
        <v>5.7768072741614968E-4</v>
      </c>
      <c r="O252" s="78">
        <v>0.52537850603083081</v>
      </c>
      <c r="P252" s="78">
        <v>0.99853372434017573</v>
      </c>
      <c r="Q252" s="83">
        <v>0.75224150909719489</v>
      </c>
    </row>
    <row r="253" spans="10:17" ht="15" customHeight="1">
      <c r="J253" s="78">
        <v>12.749991334789085</v>
      </c>
      <c r="K253" s="78">
        <v>95.704792762900254</v>
      </c>
      <c r="L253" s="78">
        <v>-0.11852902661780718</v>
      </c>
      <c r="M253" s="78">
        <v>182.00132037168032</v>
      </c>
      <c r="N253" s="78">
        <v>5.7768072741614968E-4</v>
      </c>
      <c r="O253" s="78">
        <v>0.52618937753892303</v>
      </c>
      <c r="P253" s="78">
        <v>1.0006516780710328</v>
      </c>
      <c r="Q253" s="83">
        <v>0.75036487446951372</v>
      </c>
    </row>
    <row r="254" spans="10:17" ht="15" customHeight="1">
      <c r="J254" s="78">
        <v>12.801404919529071</v>
      </c>
      <c r="K254" s="78">
        <v>95.555955417383757</v>
      </c>
      <c r="L254" s="78">
        <v>0.74080641636146538</v>
      </c>
      <c r="M254" s="78">
        <v>181.14198492870105</v>
      </c>
      <c r="N254" s="78">
        <v>1.7330421822471661E-3</v>
      </c>
      <c r="O254" s="78">
        <v>0.52537106292864122</v>
      </c>
      <c r="P254" s="78">
        <v>0.99592701205604417</v>
      </c>
      <c r="Q254" s="83">
        <v>0.74618856077994833</v>
      </c>
    </row>
    <row r="255" spans="10:17" ht="15" customHeight="1">
      <c r="J255" s="78">
        <v>12.852818504269059</v>
      </c>
      <c r="K255" s="78">
        <v>95.496016489544701</v>
      </c>
      <c r="L255" s="78">
        <v>0.91859995628820457</v>
      </c>
      <c r="M255" s="78">
        <v>180.96419138877431</v>
      </c>
      <c r="N255" s="78">
        <v>0</v>
      </c>
      <c r="O255" s="78">
        <v>0.52504151593084225</v>
      </c>
      <c r="P255" s="78">
        <v>0.99494949494949492</v>
      </c>
      <c r="Q255" s="83">
        <v>0.74273732387258506</v>
      </c>
    </row>
    <row r="256" spans="10:17" ht="15" customHeight="1">
      <c r="J256" s="78">
        <v>12.904232089009046</v>
      </c>
      <c r="K256" s="78">
        <v>95.436079209419731</v>
      </c>
      <c r="L256" s="78">
        <v>0.4444838498168906</v>
      </c>
      <c r="M256" s="78">
        <v>181.43830749524562</v>
      </c>
      <c r="N256" s="78">
        <v>5.7768072741614968E-4</v>
      </c>
      <c r="O256" s="78">
        <v>0.52471197799225155</v>
      </c>
      <c r="P256" s="78">
        <v>0.99755620723362648</v>
      </c>
      <c r="Q256" s="83">
        <v>0.73931360086076792</v>
      </c>
    </row>
    <row r="257" spans="10:17" ht="15" customHeight="1">
      <c r="J257" s="78">
        <v>12.95564567374903</v>
      </c>
      <c r="K257" s="78">
        <v>95.465040346972188</v>
      </c>
      <c r="L257" s="78">
        <v>1.0074967262515599</v>
      </c>
      <c r="M257" s="78">
        <v>180.87529461881095</v>
      </c>
      <c r="N257" s="78">
        <v>5.7768072741614968E-4</v>
      </c>
      <c r="O257" s="78">
        <v>0.5248712076661437</v>
      </c>
      <c r="P257" s="78">
        <v>0.99446073639622035</v>
      </c>
      <c r="Q257" s="83">
        <v>0.73660322658870958</v>
      </c>
    </row>
    <row r="258" spans="10:17" ht="15" customHeight="1">
      <c r="J258" s="78">
        <v>13.007059258489019</v>
      </c>
      <c r="K258" s="78">
        <v>95.553267645547621</v>
      </c>
      <c r="L258" s="78">
        <v>0.56301287643472619</v>
      </c>
      <c r="M258" s="78">
        <v>181.31977846862779</v>
      </c>
      <c r="N258" s="78">
        <v>5.7768072741614968E-4</v>
      </c>
      <c r="O258" s="78">
        <v>0.52535628543476032</v>
      </c>
      <c r="P258" s="78">
        <v>0.99690452916259353</v>
      </c>
      <c r="Q258" s="83">
        <v>0.73436992527323619</v>
      </c>
    </row>
    <row r="259" spans="10:17" ht="15" customHeight="1">
      <c r="J259" s="78">
        <v>13.058472843229001</v>
      </c>
      <c r="K259" s="78">
        <v>95.493335308564895</v>
      </c>
      <c r="L259" s="78">
        <v>1.0963934962149438</v>
      </c>
      <c r="M259" s="78">
        <v>180.78639784884757</v>
      </c>
      <c r="N259" s="78">
        <v>5.7768072741614968E-4</v>
      </c>
      <c r="O259" s="78">
        <v>0.52502677467379433</v>
      </c>
      <c r="P259" s="78">
        <v>0.99397197784294555</v>
      </c>
      <c r="Q259" s="83">
        <v>0.73101962354905814</v>
      </c>
    </row>
    <row r="260" spans="10:17" ht="15" customHeight="1">
      <c r="J260" s="78">
        <v>13.109886427968986</v>
      </c>
      <c r="K260" s="78">
        <v>95.522301389259582</v>
      </c>
      <c r="L260" s="78">
        <v>1.6297741159952182</v>
      </c>
      <c r="M260" s="78">
        <v>180.2530172290673</v>
      </c>
      <c r="N260" s="78">
        <v>5.7768072741614968E-4</v>
      </c>
      <c r="O260" s="78">
        <v>0.52518603152531107</v>
      </c>
      <c r="P260" s="78">
        <v>0.99103942652329735</v>
      </c>
      <c r="Q260" s="83">
        <v>0.72837370197810847</v>
      </c>
    </row>
    <row r="261" spans="10:17" ht="15" customHeight="1">
      <c r="J261" s="78">
        <v>13.161300012708974</v>
      </c>
      <c r="K261" s="78">
        <v>95.462372347704999</v>
      </c>
      <c r="L261" s="78">
        <v>1.3038192927961347</v>
      </c>
      <c r="M261" s="78">
        <v>180.57897205226638</v>
      </c>
      <c r="N261" s="78">
        <v>1.1553614548316579E-3</v>
      </c>
      <c r="O261" s="78">
        <v>0.52485653888276151</v>
      </c>
      <c r="P261" s="78">
        <v>0.99283154121863804</v>
      </c>
      <c r="Q261" s="83">
        <v>0.72507302444909993</v>
      </c>
    </row>
    <row r="262" spans="10:17" ht="15" customHeight="1">
      <c r="J262" s="78">
        <v>13.21271359744896</v>
      </c>
      <c r="K262" s="78">
        <v>95.491341723827858</v>
      </c>
      <c r="L262" s="78">
        <v>1.5112450893773541</v>
      </c>
      <c r="M262" s="78">
        <v>180.37154625568516</v>
      </c>
      <c r="N262" s="78">
        <v>5.7768072741614968E-4</v>
      </c>
      <c r="O262" s="78">
        <v>0.52501581385269469</v>
      </c>
      <c r="P262" s="78">
        <v>0.99169110459433041</v>
      </c>
      <c r="Q262" s="83">
        <v>0.72247085907865372</v>
      </c>
    </row>
    <row r="263" spans="10:17" ht="15" customHeight="1">
      <c r="J263" s="78">
        <v>13.264127182188949</v>
      </c>
      <c r="K263" s="78">
        <v>95.461048234355857</v>
      </c>
      <c r="L263" s="78">
        <v>1.6594063726496699</v>
      </c>
      <c r="M263" s="78">
        <v>180.22338497241284</v>
      </c>
      <c r="N263" s="78">
        <v>5.7768072741614968E-4</v>
      </c>
      <c r="O263" s="78">
        <v>0.52484925884631961</v>
      </c>
      <c r="P263" s="78">
        <v>0.99087650700553909</v>
      </c>
      <c r="Q263" s="83">
        <v>0.71944207587032016</v>
      </c>
    </row>
    <row r="264" spans="10:17" ht="15" customHeight="1">
      <c r="J264" s="78">
        <v>13.315540766928931</v>
      </c>
      <c r="K264" s="78">
        <v>95.430756392597942</v>
      </c>
      <c r="L264" s="78">
        <v>2.6076385855923263</v>
      </c>
      <c r="M264" s="78">
        <v>179.27515275947019</v>
      </c>
      <c r="N264" s="78">
        <v>1.1553614548316579E-3</v>
      </c>
      <c r="O264" s="78">
        <v>0.5246827128991528</v>
      </c>
      <c r="P264" s="78">
        <v>0.98566308243727585</v>
      </c>
      <c r="Q264" s="83">
        <v>0.716436694338355</v>
      </c>
    </row>
    <row r="265" spans="10:17" ht="15" customHeight="1">
      <c r="J265" s="78">
        <v>13.36695435166892</v>
      </c>
      <c r="K265" s="78">
        <v>95.459730711863031</v>
      </c>
      <c r="L265" s="78">
        <v>2.1038902224665037</v>
      </c>
      <c r="M265" s="78">
        <v>179.77890112259601</v>
      </c>
      <c r="N265" s="78">
        <v>0</v>
      </c>
      <c r="O265" s="78">
        <v>0.52484201504671069</v>
      </c>
      <c r="P265" s="78">
        <v>0.9884327142391659</v>
      </c>
      <c r="Q265" s="83">
        <v>0.71389781032066124</v>
      </c>
    </row>
    <row r="266" spans="10:17" ht="15" customHeight="1">
      <c r="J266" s="78">
        <v>13.418367936408904</v>
      </c>
      <c r="K266" s="78">
        <v>95.310913138915453</v>
      </c>
      <c r="L266" s="78">
        <v>2.4298450456655587</v>
      </c>
      <c r="M266" s="78">
        <v>179.45294629939696</v>
      </c>
      <c r="N266" s="78">
        <v>0</v>
      </c>
      <c r="O266" s="78">
        <v>0.52402380914692737</v>
      </c>
      <c r="P266" s="78">
        <v>0.98664059954382533</v>
      </c>
      <c r="Q266" s="83">
        <v>0.71005339324208361</v>
      </c>
    </row>
    <row r="267" spans="10:17" ht="15" customHeight="1">
      <c r="J267" s="78">
        <v>13.469781521148889</v>
      </c>
      <c r="K267" s="78">
        <v>95.428787523572055</v>
      </c>
      <c r="L267" s="78">
        <v>2.7557998688645853</v>
      </c>
      <c r="M267" s="78">
        <v>179.12699147619793</v>
      </c>
      <c r="N267" s="78">
        <v>5.7768072741614968E-4</v>
      </c>
      <c r="O267" s="78">
        <v>0.52467188796617625</v>
      </c>
      <c r="P267" s="78">
        <v>0.98484848484848486</v>
      </c>
      <c r="Q267" s="83">
        <v>0.70821825198170807</v>
      </c>
    </row>
    <row r="268" spans="10:17" ht="15" customHeight="1">
      <c r="J268" s="78">
        <v>13.521195105888875</v>
      </c>
      <c r="K268" s="78">
        <v>95.339237759361538</v>
      </c>
      <c r="L268" s="78">
        <v>2.6669030989012299</v>
      </c>
      <c r="M268" s="78">
        <v>179.21588824616128</v>
      </c>
      <c r="N268" s="78">
        <v>5.7768072741614968E-4</v>
      </c>
      <c r="O268" s="78">
        <v>0.5241795392203259</v>
      </c>
      <c r="P268" s="78">
        <v>0.98533724340175943</v>
      </c>
      <c r="Q268" s="83">
        <v>0.70486300008433989</v>
      </c>
    </row>
    <row r="269" spans="10:17" ht="15" customHeight="1">
      <c r="J269" s="78">
        <v>13.572608690628861</v>
      </c>
      <c r="K269" s="78">
        <v>95.397850926137352</v>
      </c>
      <c r="L269" s="78">
        <v>2.7557998688645853</v>
      </c>
      <c r="M269" s="78">
        <v>179.12699147619793</v>
      </c>
      <c r="N269" s="78">
        <v>5.7768072741614968E-4</v>
      </c>
      <c r="O269" s="78">
        <v>0.52450179712247458</v>
      </c>
      <c r="P269" s="78">
        <v>0.98484848484848486</v>
      </c>
      <c r="Q269" s="83">
        <v>0.70262479977961068</v>
      </c>
    </row>
    <row r="270" spans="10:17" ht="15" customHeight="1">
      <c r="J270" s="78">
        <v>13.624022275368846</v>
      </c>
      <c r="K270" s="78">
        <v>95.337936714009473</v>
      </c>
      <c r="L270" s="78">
        <v>3.2595482319903795</v>
      </c>
      <c r="M270" s="78">
        <v>178.62324311307214</v>
      </c>
      <c r="N270" s="78">
        <v>5.7768072741614968E-4</v>
      </c>
      <c r="O270" s="78">
        <v>0.52417238601279892</v>
      </c>
      <c r="P270" s="78">
        <v>0.98207885304659492</v>
      </c>
      <c r="Q270" s="83">
        <v>0.69953350412217374</v>
      </c>
    </row>
    <row r="271" spans="10:17" ht="15" customHeight="1">
      <c r="J271" s="78">
        <v>13.675435860108834</v>
      </c>
      <c r="K271" s="78">
        <v>95.248391892941186</v>
      </c>
      <c r="L271" s="78">
        <v>3.2595482319903795</v>
      </c>
      <c r="M271" s="78">
        <v>178.62324311307214</v>
      </c>
      <c r="N271" s="78">
        <v>5.7768072741614968E-4</v>
      </c>
      <c r="O271" s="78">
        <v>0.52368006444457316</v>
      </c>
      <c r="P271" s="78">
        <v>0.98207885304659492</v>
      </c>
      <c r="Q271" s="83">
        <v>0.6962487819634815</v>
      </c>
    </row>
    <row r="272" spans="10:17" ht="15" customHeight="1">
      <c r="J272" s="78">
        <v>13.726849444848819</v>
      </c>
      <c r="K272" s="78">
        <v>95.277377746204806</v>
      </c>
      <c r="L272" s="78">
        <v>3.8521933650795575</v>
      </c>
      <c r="M272" s="78">
        <v>178.03059797998296</v>
      </c>
      <c r="N272" s="78">
        <v>1.1553614548316579E-3</v>
      </c>
      <c r="O272" s="78">
        <v>0.52383943000658839</v>
      </c>
      <c r="P272" s="78">
        <v>0.9788204626914303</v>
      </c>
      <c r="Q272" s="83">
        <v>0.69385216061512289</v>
      </c>
    </row>
    <row r="273" spans="10:17" ht="15" customHeight="1">
      <c r="J273" s="78">
        <v>13.778263029588805</v>
      </c>
      <c r="K273" s="78">
        <v>95.306365247182498</v>
      </c>
      <c r="L273" s="78">
        <v>3.4966062852260507</v>
      </c>
      <c r="M273" s="78">
        <v>178.38618505983646</v>
      </c>
      <c r="N273" s="78">
        <v>1.1553614548316579E-3</v>
      </c>
      <c r="O273" s="78">
        <v>0.5239988046278119</v>
      </c>
      <c r="P273" s="78">
        <v>0.98077549690452903</v>
      </c>
      <c r="Q273" s="83">
        <v>0.6914734372093746</v>
      </c>
    </row>
    <row r="274" spans="10:17" ht="15" customHeight="1">
      <c r="J274" s="78">
        <v>13.82967661432879</v>
      </c>
      <c r="K274" s="78">
        <v>95.068664085984167</v>
      </c>
      <c r="L274" s="78">
        <v>4.0003546483518448</v>
      </c>
      <c r="M274" s="78">
        <v>177.88243669671067</v>
      </c>
      <c r="N274" s="78">
        <v>0</v>
      </c>
      <c r="O274" s="78">
        <v>0.52269191264841974</v>
      </c>
      <c r="P274" s="78">
        <v>0.97800586510263909</v>
      </c>
      <c r="Q274" s="83">
        <v>0.6871840206211528</v>
      </c>
    </row>
    <row r="275" spans="10:17" ht="15" customHeight="1">
      <c r="J275" s="78">
        <v>13.881090199068776</v>
      </c>
      <c r="K275" s="78">
        <v>95.156919395698907</v>
      </c>
      <c r="L275" s="78">
        <v>4.2374127015874876</v>
      </c>
      <c r="M275" s="78">
        <v>177.64537864347503</v>
      </c>
      <c r="N275" s="78">
        <v>5.7768072741614968E-4</v>
      </c>
      <c r="O275" s="78">
        <v>0.52317714442357599</v>
      </c>
      <c r="P275" s="78">
        <v>0.97670250896057342</v>
      </c>
      <c r="Q275" s="83">
        <v>0.68527458393249319</v>
      </c>
    </row>
    <row r="276" spans="10:17" ht="15" customHeight="1">
      <c r="J276" s="78">
        <v>13.932503783808764</v>
      </c>
      <c r="K276" s="78">
        <v>95.126647326509925</v>
      </c>
      <c r="L276" s="78">
        <v>4.385573984859775</v>
      </c>
      <c r="M276" s="78">
        <v>177.49721736020274</v>
      </c>
      <c r="N276" s="78">
        <v>5.7768072741614968E-4</v>
      </c>
      <c r="O276" s="78">
        <v>0.52301070718690768</v>
      </c>
      <c r="P276" s="78">
        <v>0.97588791137178232</v>
      </c>
      <c r="Q276" s="83">
        <v>0.68252851399389858</v>
      </c>
    </row>
    <row r="277" spans="10:17" ht="15" customHeight="1">
      <c r="J277" s="78">
        <v>13.983917368548749</v>
      </c>
      <c r="K277" s="78">
        <v>95.155641418343933</v>
      </c>
      <c r="L277" s="78">
        <v>4.385573984859775</v>
      </c>
      <c r="M277" s="78">
        <v>177.49721736020274</v>
      </c>
      <c r="N277" s="78">
        <v>5.7768072741614968E-4</v>
      </c>
      <c r="O277" s="78">
        <v>0.52317011804496416</v>
      </c>
      <c r="P277" s="78">
        <v>0.97588791137178232</v>
      </c>
      <c r="Q277" s="83">
        <v>0.68022645316502939</v>
      </c>
    </row>
    <row r="278" spans="10:17" ht="15" customHeight="1">
      <c r="J278" s="78">
        <v>14.035330953288735</v>
      </c>
      <c r="K278" s="78">
        <v>95.155004901237561</v>
      </c>
      <c r="L278" s="78">
        <v>4.9189546046400494</v>
      </c>
      <c r="M278" s="78">
        <v>176.96383674042247</v>
      </c>
      <c r="N278" s="78">
        <v>5.7768072741614968E-4</v>
      </c>
      <c r="O278" s="78">
        <v>0.52316661844447054</v>
      </c>
      <c r="P278" s="78">
        <v>0.97295536005213401</v>
      </c>
      <c r="Q278" s="83">
        <v>0.67773014351480287</v>
      </c>
    </row>
    <row r="279" spans="10:17" ht="15" customHeight="1">
      <c r="J279" s="78">
        <v>14.08674453802872</v>
      </c>
      <c r="K279" s="78">
        <v>95.213634545154164</v>
      </c>
      <c r="L279" s="78">
        <v>4.71152880805883</v>
      </c>
      <c r="M279" s="78">
        <v>177.17126253700368</v>
      </c>
      <c r="N279" s="78">
        <v>5.7768072741614968E-4</v>
      </c>
      <c r="O279" s="78">
        <v>0.52348896693870139</v>
      </c>
      <c r="P279" s="78">
        <v>0.97409579667644175</v>
      </c>
      <c r="Q279" s="83">
        <v>0.67567277875642728</v>
      </c>
    </row>
    <row r="280" spans="10:17" ht="15" customHeight="1">
      <c r="J280" s="78">
        <v>14.138158122768708</v>
      </c>
      <c r="K280" s="78">
        <v>95.064840040203663</v>
      </c>
      <c r="L280" s="78">
        <v>4.8893223479855408</v>
      </c>
      <c r="M280" s="78">
        <v>176.99346899707697</v>
      </c>
      <c r="N280" s="78">
        <v>5.7768072741614968E-4</v>
      </c>
      <c r="O280" s="78">
        <v>0.52267088786783311</v>
      </c>
      <c r="P280" s="78">
        <v>0.9731182795698925</v>
      </c>
      <c r="Q280" s="83">
        <v>0.67216325440882219</v>
      </c>
    </row>
    <row r="281" spans="10:17" ht="15" customHeight="1">
      <c r="J281" s="78">
        <v>14.189571707508691</v>
      </c>
      <c r="K281" s="78">
        <v>95.093840722893972</v>
      </c>
      <c r="L281" s="78">
        <v>5.2745416844935278</v>
      </c>
      <c r="M281" s="78">
        <v>176.60824966056899</v>
      </c>
      <c r="N281" s="78">
        <v>1.1553614548316579E-3</v>
      </c>
      <c r="O281" s="78">
        <v>0.52283033496272235</v>
      </c>
      <c r="P281" s="78">
        <v>0.97100032583903539</v>
      </c>
      <c r="Q281" s="83">
        <v>0.66993216140452339</v>
      </c>
    </row>
    <row r="282" spans="10:17" ht="15" customHeight="1">
      <c r="J282" s="78">
        <v>14.240985292248679</v>
      </c>
      <c r="K282" s="78">
        <v>95.122843053298368</v>
      </c>
      <c r="L282" s="78">
        <v>5.0078513746034048</v>
      </c>
      <c r="M282" s="78">
        <v>176.87493997045911</v>
      </c>
      <c r="N282" s="78">
        <v>5.7768072741614968E-4</v>
      </c>
      <c r="O282" s="78">
        <v>0.52298979111681987</v>
      </c>
      <c r="P282" s="78">
        <v>0.97246660149885944</v>
      </c>
      <c r="Q282" s="83">
        <v>0.667717189598665</v>
      </c>
    </row>
    <row r="283" spans="10:17" ht="15" customHeight="1">
      <c r="J283" s="78">
        <v>14.292398876988665</v>
      </c>
      <c r="K283" s="78">
        <v>95.062950261453452</v>
      </c>
      <c r="L283" s="78">
        <v>4.8004255780221854</v>
      </c>
      <c r="M283" s="78">
        <v>177.08236576704033</v>
      </c>
      <c r="N283" s="78">
        <v>0</v>
      </c>
      <c r="O283" s="78">
        <v>0.52266049777685075</v>
      </c>
      <c r="P283" s="78">
        <v>0.97360703812316707</v>
      </c>
      <c r="Q283" s="83">
        <v>0.66489617866542094</v>
      </c>
    </row>
    <row r="284" spans="10:17" ht="15" customHeight="1">
      <c r="J284" s="78">
        <v>14.34381246172865</v>
      </c>
      <c r="K284" s="78">
        <v>95.032691373977087</v>
      </c>
      <c r="L284" s="78">
        <v>5.6597610210014579</v>
      </c>
      <c r="M284" s="78">
        <v>176.22303032406106</v>
      </c>
      <c r="N284" s="78">
        <v>0</v>
      </c>
      <c r="O284" s="78">
        <v>0.52249413301384817</v>
      </c>
      <c r="P284" s="78">
        <v>0.96888237210817851</v>
      </c>
      <c r="Q284" s="83">
        <v>0.66230198797364881</v>
      </c>
    </row>
    <row r="285" spans="10:17" ht="15" customHeight="1">
      <c r="J285" s="78">
        <v>14.395226046468634</v>
      </c>
      <c r="K285" s="78">
        <v>95.091330904178136</v>
      </c>
      <c r="L285" s="78">
        <v>5.1263804012212404</v>
      </c>
      <c r="M285" s="78">
        <v>176.75641094384127</v>
      </c>
      <c r="N285" s="78">
        <v>1.1553614548316579E-3</v>
      </c>
      <c r="O285" s="78">
        <v>0.52281653586332832</v>
      </c>
      <c r="P285" s="78">
        <v>0.97181492342782649</v>
      </c>
      <c r="Q285" s="83">
        <v>0.66034388281635237</v>
      </c>
    </row>
    <row r="286" spans="10:17" ht="15" customHeight="1">
      <c r="J286" s="78">
        <v>14.446639631208621</v>
      </c>
      <c r="K286" s="78">
        <v>95.031443055475478</v>
      </c>
      <c r="L286" s="78">
        <v>5.4227029677658152</v>
      </c>
      <c r="M286" s="78">
        <v>176.4600883772967</v>
      </c>
      <c r="N286" s="78">
        <v>1.1553614548316579E-3</v>
      </c>
      <c r="O286" s="78">
        <v>0.52248726970098403</v>
      </c>
      <c r="P286" s="78">
        <v>0.97018572825024429</v>
      </c>
      <c r="Q286" s="83">
        <v>0.65757926543358769</v>
      </c>
    </row>
    <row r="287" spans="10:17" ht="15" customHeight="1">
      <c r="J287" s="78">
        <v>14.498053215948605</v>
      </c>
      <c r="K287" s="78">
        <v>95.119718137759165</v>
      </c>
      <c r="L287" s="78">
        <v>5.3930707111113634</v>
      </c>
      <c r="M287" s="78">
        <v>176.48972063395115</v>
      </c>
      <c r="N287" s="78">
        <v>0</v>
      </c>
      <c r="O287" s="78">
        <v>0.52297261018663899</v>
      </c>
      <c r="P287" s="78">
        <v>0.97034864776800245</v>
      </c>
      <c r="Q287" s="83">
        <v>0.65585620657277621</v>
      </c>
    </row>
    <row r="288" spans="10:17" ht="15" customHeight="1">
      <c r="J288" s="78">
        <v>14.549466800688593</v>
      </c>
      <c r="K288" s="78">
        <v>95.089465841139088</v>
      </c>
      <c r="L288" s="78">
        <v>5.6004965076925544</v>
      </c>
      <c r="M288" s="78">
        <v>176.28229483736996</v>
      </c>
      <c r="N288" s="78">
        <v>5.7768072741614968E-4</v>
      </c>
      <c r="O288" s="78">
        <v>0.52280628166046916</v>
      </c>
      <c r="P288" s="78">
        <v>0.96920821114369493</v>
      </c>
      <c r="Q288" s="83">
        <v>0.65333067427532132</v>
      </c>
    </row>
    <row r="289" spans="10:17" ht="15" customHeight="1">
      <c r="J289" s="78">
        <v>14.60088038542858</v>
      </c>
      <c r="K289" s="78">
        <v>95.029582935578659</v>
      </c>
      <c r="L289" s="78">
        <v>5.5708642510381026</v>
      </c>
      <c r="M289" s="78">
        <v>176.31192709402441</v>
      </c>
      <c r="N289" s="78">
        <v>0</v>
      </c>
      <c r="O289" s="78">
        <v>0.52247704267574946</v>
      </c>
      <c r="P289" s="78">
        <v>0.96937113066145308</v>
      </c>
      <c r="Q289" s="83">
        <v>0.65061999098113954</v>
      </c>
    </row>
    <row r="290" spans="10:17" ht="15" customHeight="1">
      <c r="J290" s="78">
        <v>14.652293970168568</v>
      </c>
      <c r="K290" s="78">
        <v>94.999333934386726</v>
      </c>
      <c r="L290" s="78">
        <v>5.6301287643470346</v>
      </c>
      <c r="M290" s="78">
        <v>176.25266258071548</v>
      </c>
      <c r="N290" s="78">
        <v>5.7768072741614968E-4</v>
      </c>
      <c r="O290" s="78">
        <v>0.52231073226799596</v>
      </c>
      <c r="P290" s="78">
        <v>0.96904529162593656</v>
      </c>
      <c r="Q290" s="83">
        <v>0.64813057831761423</v>
      </c>
    </row>
    <row r="291" spans="10:17" ht="15" customHeight="1">
      <c r="J291" s="78">
        <v>14.703707554908551</v>
      </c>
      <c r="K291" s="78">
        <v>94.969086580908908</v>
      </c>
      <c r="L291" s="78">
        <v>5.8375545609282256</v>
      </c>
      <c r="M291" s="78">
        <v>176.04523678413429</v>
      </c>
      <c r="N291" s="78">
        <v>5.7768072741614968E-4</v>
      </c>
      <c r="O291" s="78">
        <v>0.52214443091945095</v>
      </c>
      <c r="P291" s="78">
        <v>0.96790485500162904</v>
      </c>
      <c r="Q291" s="83">
        <v>0.64565858602431303</v>
      </c>
    </row>
    <row r="292" spans="10:17" ht="15" customHeight="1">
      <c r="J292" s="78">
        <v>14.755121139648535</v>
      </c>
      <c r="K292" s="78">
        <v>95.027737645108516</v>
      </c>
      <c r="L292" s="78">
        <v>5.5412319943836508</v>
      </c>
      <c r="M292" s="78">
        <v>176.34155935067886</v>
      </c>
      <c r="N292" s="78">
        <v>0</v>
      </c>
      <c r="O292" s="78">
        <v>0.52246689718338868</v>
      </c>
      <c r="P292" s="78">
        <v>0.96953405017921135</v>
      </c>
      <c r="Q292" s="83">
        <v>0.64380631278663292</v>
      </c>
    </row>
    <row r="293" spans="10:17" ht="15" customHeight="1">
      <c r="J293" s="78">
        <v>14.806534724388523</v>
      </c>
      <c r="K293" s="78">
        <v>94.938229073749895</v>
      </c>
      <c r="L293" s="78">
        <v>5.8671868175826773</v>
      </c>
      <c r="M293" s="78">
        <v>176.01560452747984</v>
      </c>
      <c r="N293" s="78">
        <v>0</v>
      </c>
      <c r="O293" s="78">
        <v>0.52197477491774336</v>
      </c>
      <c r="P293" s="78">
        <v>0.96774193548387089</v>
      </c>
      <c r="Q293" s="83">
        <v>0.64096626625736686</v>
      </c>
    </row>
    <row r="294" spans="10:17" ht="15" customHeight="1">
      <c r="J294" s="78">
        <v>14.857948309128508</v>
      </c>
      <c r="K294" s="78">
        <v>94.848722150105402</v>
      </c>
      <c r="L294" s="78">
        <v>5.8079223042737738</v>
      </c>
      <c r="M294" s="78">
        <v>176.07486904078874</v>
      </c>
      <c r="N294" s="78">
        <v>5.7768072741614968E-4</v>
      </c>
      <c r="O294" s="78">
        <v>0.52148266171130664</v>
      </c>
      <c r="P294" s="78">
        <v>0.9680677745193873</v>
      </c>
      <c r="Q294" s="83">
        <v>0.63814588588328813</v>
      </c>
    </row>
    <row r="295" spans="10:17" ht="15" customHeight="1">
      <c r="J295" s="78">
        <v>14.909361893868494</v>
      </c>
      <c r="K295" s="78">
        <v>94.937010414101678</v>
      </c>
      <c r="L295" s="78">
        <v>5.71902553431039</v>
      </c>
      <c r="M295" s="78">
        <v>176.16376581075212</v>
      </c>
      <c r="N295" s="78">
        <v>1.1553614548316579E-3</v>
      </c>
      <c r="O295" s="78">
        <v>0.52196807467062711</v>
      </c>
      <c r="P295" s="78">
        <v>0.96855653307266198</v>
      </c>
      <c r="Q295" s="83">
        <v>0.63653746418480006</v>
      </c>
    </row>
    <row r="296" spans="10:17" ht="15" customHeight="1">
      <c r="J296" s="78">
        <v>14.960775478608483</v>
      </c>
      <c r="K296" s="78">
        <v>94.817874529230878</v>
      </c>
      <c r="L296" s="78">
        <v>5.8671868175826773</v>
      </c>
      <c r="M296" s="78">
        <v>176.01560452747984</v>
      </c>
      <c r="N296" s="78">
        <v>5.7768072741614968E-4</v>
      </c>
      <c r="O296" s="78">
        <v>0.52131306006484845</v>
      </c>
      <c r="P296" s="78">
        <v>0.96774193548387089</v>
      </c>
      <c r="Q296" s="83">
        <v>0.63355364416785309</v>
      </c>
    </row>
    <row r="297" spans="10:17" ht="15" customHeight="1">
      <c r="J297" s="78">
        <v>15.012189063348469</v>
      </c>
      <c r="K297" s="78">
        <v>94.935798345309763</v>
      </c>
      <c r="L297" s="78">
        <v>5.9560835875460327</v>
      </c>
      <c r="M297" s="78">
        <v>175.92670775751648</v>
      </c>
      <c r="N297" s="78">
        <v>5.7768072741614968E-4</v>
      </c>
      <c r="O297" s="78">
        <v>0.52196141066034363</v>
      </c>
      <c r="P297" s="78">
        <v>0.96725317693059631</v>
      </c>
      <c r="Q297" s="83">
        <v>0.63216937687171326</v>
      </c>
    </row>
    <row r="298" spans="10:17" ht="15" customHeight="1">
      <c r="J298" s="78">
        <v>15.063602648088454</v>
      </c>
      <c r="K298" s="78">
        <v>94.78703349921264</v>
      </c>
      <c r="L298" s="78">
        <v>6.5783609772896625</v>
      </c>
      <c r="M298" s="78">
        <v>175.30443036777285</v>
      </c>
      <c r="N298" s="78">
        <v>1.1553614548316579E-3</v>
      </c>
      <c r="O298" s="78">
        <v>0.52114349465522303</v>
      </c>
      <c r="P298" s="78">
        <v>0.96383186705767343</v>
      </c>
      <c r="Q298" s="83">
        <v>0.62902414132983298</v>
      </c>
    </row>
    <row r="299" spans="10:17" ht="15" customHeight="1">
      <c r="J299" s="78">
        <v>15.115016232828438</v>
      </c>
      <c r="K299" s="78">
        <v>94.934592867374164</v>
      </c>
      <c r="L299" s="78">
        <v>6.5190964639807589</v>
      </c>
      <c r="M299" s="78">
        <v>175.36369488108176</v>
      </c>
      <c r="N299" s="78">
        <v>-5.7768072741550837E-4</v>
      </c>
      <c r="O299" s="78">
        <v>0.52195478288689301</v>
      </c>
      <c r="P299" s="78">
        <v>0.96415770609318985</v>
      </c>
      <c r="Q299" s="83">
        <v>0.62786076519402612</v>
      </c>
    </row>
    <row r="300" spans="10:17" ht="15" customHeight="1">
      <c r="J300" s="78">
        <v>15.166429817568424</v>
      </c>
      <c r="K300" s="78">
        <v>94.845095830014117</v>
      </c>
      <c r="L300" s="78">
        <v>6.8154190305253337</v>
      </c>
      <c r="M300" s="78">
        <v>175.06737231453718</v>
      </c>
      <c r="N300" s="78">
        <v>5.7768072741614968E-4</v>
      </c>
      <c r="O300" s="78">
        <v>0.52146272403570537</v>
      </c>
      <c r="P300" s="78">
        <v>0.96252851091560754</v>
      </c>
      <c r="Q300" s="83">
        <v>0.6251422429783059</v>
      </c>
    </row>
    <row r="301" spans="10:17" ht="15" customHeight="1">
      <c r="J301" s="78">
        <v>15.217843402308409</v>
      </c>
      <c r="K301" s="78">
        <v>94.785232697022579</v>
      </c>
      <c r="L301" s="78">
        <v>6.8450512871797571</v>
      </c>
      <c r="M301" s="78">
        <v>175.03774005788276</v>
      </c>
      <c r="N301" s="78">
        <v>5.7768072741614968E-4</v>
      </c>
      <c r="O301" s="78">
        <v>0.52113359376148405</v>
      </c>
      <c r="P301" s="78">
        <v>0.9623655913978495</v>
      </c>
      <c r="Q301" s="83">
        <v>0.62263682115373398</v>
      </c>
    </row>
    <row r="302" spans="10:17" ht="15" customHeight="1">
      <c r="J302" s="78">
        <v>15.268679306320982</v>
      </c>
      <c r="K302" s="78">
        <v>94.725377910142541</v>
      </c>
      <c r="L302" s="78">
        <v>7.1710061103788121</v>
      </c>
      <c r="M302" s="78">
        <v>174.7117852346837</v>
      </c>
      <c r="N302" s="78">
        <v>1.1553614548316579E-3</v>
      </c>
      <c r="O302" s="78">
        <v>0.52080450937456979</v>
      </c>
      <c r="P302" s="78">
        <v>0.96057347670250892</v>
      </c>
      <c r="Q302" s="83">
        <v>0.62017178907022641</v>
      </c>
    </row>
    <row r="303" spans="10:17" ht="15" customHeight="1">
      <c r="J303" s="78">
        <v>15.320670571788384</v>
      </c>
      <c r="K303" s="78">
        <v>94.754408144145145</v>
      </c>
      <c r="L303" s="78">
        <v>6.9339480571431409</v>
      </c>
      <c r="M303" s="78">
        <v>174.94884328791937</v>
      </c>
      <c r="N303" s="78">
        <v>0</v>
      </c>
      <c r="O303" s="78">
        <v>0.52096411894394101</v>
      </c>
      <c r="P303" s="78">
        <v>0.96187683284457481</v>
      </c>
      <c r="Q303" s="83">
        <v>0.61825669713066667</v>
      </c>
    </row>
    <row r="304" spans="10:17" ht="15" customHeight="1">
      <c r="J304" s="78">
        <v>15.372084156528368</v>
      </c>
      <c r="K304" s="78">
        <v>94.753814467604769</v>
      </c>
      <c r="L304" s="78">
        <v>7.2895351369966761</v>
      </c>
      <c r="M304" s="78">
        <v>174.59325620806584</v>
      </c>
      <c r="N304" s="78">
        <v>5.7768072741614968E-4</v>
      </c>
      <c r="O304" s="78">
        <v>0.52096085488286081</v>
      </c>
      <c r="P304" s="78">
        <v>0.95992179863147586</v>
      </c>
      <c r="Q304" s="83">
        <v>0.6161850092307859</v>
      </c>
    </row>
    <row r="305" spans="10:17" ht="15" customHeight="1">
      <c r="J305" s="78">
        <v>15.423497741268353</v>
      </c>
      <c r="K305" s="78">
        <v>94.605061155506178</v>
      </c>
      <c r="L305" s="78">
        <v>7.2895351369966761</v>
      </c>
      <c r="M305" s="78">
        <v>174.59325620806584</v>
      </c>
      <c r="N305" s="78">
        <v>5.7768072741614968E-4</v>
      </c>
      <c r="O305" s="78">
        <v>0.52014300229219779</v>
      </c>
      <c r="P305" s="78">
        <v>0.95992179863147586</v>
      </c>
      <c r="Q305" s="83">
        <v>0.6131665232700505</v>
      </c>
    </row>
    <row r="306" spans="10:17" ht="15" customHeight="1">
      <c r="J306" s="78">
        <v>15.474911326008339</v>
      </c>
      <c r="K306" s="78">
        <v>94.663735287702877</v>
      </c>
      <c r="L306" s="78">
        <v>7.1413738537243319</v>
      </c>
      <c r="M306" s="78">
        <v>174.74141749133818</v>
      </c>
      <c r="N306" s="78">
        <v>0</v>
      </c>
      <c r="O306" s="78">
        <v>0.52046559538505055</v>
      </c>
      <c r="P306" s="78">
        <v>0.9607363962202673</v>
      </c>
      <c r="Q306" s="83">
        <v>0.61150850564114967</v>
      </c>
    </row>
    <row r="307" spans="10:17" ht="15" customHeight="1">
      <c r="J307" s="78">
        <v>15.526324910748327</v>
      </c>
      <c r="K307" s="78">
        <v>94.781675580922538</v>
      </c>
      <c r="L307" s="78">
        <v>7.4969609335778671</v>
      </c>
      <c r="M307" s="78">
        <v>174.38583041148465</v>
      </c>
      <c r="N307" s="78">
        <v>0</v>
      </c>
      <c r="O307" s="78">
        <v>0.52111403657262778</v>
      </c>
      <c r="P307" s="78">
        <v>0.95878136200716835</v>
      </c>
      <c r="Q307" s="83">
        <v>0.61024318270317368</v>
      </c>
    </row>
    <row r="308" spans="10:17" ht="15" customHeight="1">
      <c r="J308" s="78">
        <v>15.57773849548831</v>
      </c>
      <c r="K308" s="78">
        <v>94.544030442002807</v>
      </c>
      <c r="L308" s="78">
        <v>7.6154899601957311</v>
      </c>
      <c r="M308" s="78">
        <v>174.26730138486678</v>
      </c>
      <c r="N308" s="78">
        <v>5.7768072741614968E-4</v>
      </c>
      <c r="O308" s="78">
        <v>0.51980745260631467</v>
      </c>
      <c r="P308" s="78">
        <v>0.95812968393613529</v>
      </c>
      <c r="Q308" s="83">
        <v>0.60670356085794563</v>
      </c>
    </row>
    <row r="309" spans="10:17" ht="15" customHeight="1">
      <c r="J309" s="78">
        <v>15.629152080228298</v>
      </c>
      <c r="K309" s="78">
        <v>94.602709517341737</v>
      </c>
      <c r="L309" s="78">
        <v>7.6451222168501545</v>
      </c>
      <c r="M309" s="78">
        <v>174.23766912821236</v>
      </c>
      <c r="N309" s="78">
        <v>5.7768072741614968E-4</v>
      </c>
      <c r="O309" s="78">
        <v>0.52013007287679214</v>
      </c>
      <c r="P309" s="78">
        <v>0.95796676441837725</v>
      </c>
      <c r="Q309" s="83">
        <v>0.60508319800816779</v>
      </c>
    </row>
    <row r="310" spans="10:17" ht="15" customHeight="1">
      <c r="J310" s="78">
        <v>15.680565664968285</v>
      </c>
      <c r="K310" s="78">
        <v>94.51322895712245</v>
      </c>
      <c r="L310" s="78">
        <v>8.0303415533580846</v>
      </c>
      <c r="M310" s="78">
        <v>173.85244979170443</v>
      </c>
      <c r="N310" s="78">
        <v>5.7768072741614968E-4</v>
      </c>
      <c r="O310" s="78">
        <v>0.51963810461768656</v>
      </c>
      <c r="P310" s="78">
        <v>0.95584881068752037</v>
      </c>
      <c r="Q310" s="83">
        <v>0.60252859933147873</v>
      </c>
    </row>
    <row r="311" spans="10:17" ht="15" customHeight="1">
      <c r="J311" s="78">
        <v>15.731979249708269</v>
      </c>
      <c r="K311" s="78">
        <v>94.601543584543961</v>
      </c>
      <c r="L311" s="78">
        <v>7.9710770400492095</v>
      </c>
      <c r="M311" s="78">
        <v>173.91171430501331</v>
      </c>
      <c r="N311" s="78">
        <v>1.1553614548316579E-3</v>
      </c>
      <c r="O311" s="78">
        <v>0.52012366252433839</v>
      </c>
      <c r="P311" s="78">
        <v>0.95617464972303656</v>
      </c>
      <c r="Q311" s="83">
        <v>0.60112084941607946</v>
      </c>
    </row>
    <row r="312" spans="10:17" ht="15" customHeight="1">
      <c r="J312" s="78">
        <v>15.783392834448254</v>
      </c>
      <c r="K312" s="78">
        <v>94.304640523171614</v>
      </c>
      <c r="L312" s="78">
        <v>8.5340899164838788</v>
      </c>
      <c r="M312" s="78">
        <v>173.34870142857864</v>
      </c>
      <c r="N312" s="78">
        <v>1.1553614548316579E-3</v>
      </c>
      <c r="O312" s="78">
        <v>0.51849127575934173</v>
      </c>
      <c r="P312" s="78">
        <v>0.95307917888563043</v>
      </c>
      <c r="Q312" s="83">
        <v>0.59728161887146503</v>
      </c>
    </row>
    <row r="313" spans="10:17" ht="15" customHeight="1">
      <c r="J313" s="78">
        <v>15.83480641918824</v>
      </c>
      <c r="K313" s="78">
        <v>94.274429419403475</v>
      </c>
      <c r="L313" s="78">
        <v>8.8007802263740302</v>
      </c>
      <c r="M313" s="78">
        <v>173.08201111868848</v>
      </c>
      <c r="N313" s="78">
        <v>5.7768072741614968E-4</v>
      </c>
      <c r="O313" s="78">
        <v>0.51832517371337727</v>
      </c>
      <c r="P313" s="78">
        <v>0.95161290322580627</v>
      </c>
      <c r="Q313" s="83">
        <v>0.59515153286918687</v>
      </c>
    </row>
    <row r="314" spans="10:17" ht="15" customHeight="1">
      <c r="J314" s="78">
        <v>15.886220003928228</v>
      </c>
      <c r="K314" s="78">
        <v>94.362748989967258</v>
      </c>
      <c r="L314" s="78">
        <v>8.3859286332115914</v>
      </c>
      <c r="M314" s="78">
        <v>173.49686271185092</v>
      </c>
      <c r="N314" s="78">
        <v>1.7330421822471661E-3</v>
      </c>
      <c r="O314" s="78">
        <v>0.51881075879765404</v>
      </c>
      <c r="P314" s="78">
        <v>0.95389377647442164</v>
      </c>
      <c r="Q314" s="83">
        <v>0.593781356911247</v>
      </c>
    </row>
    <row r="315" spans="10:17" ht="15" customHeight="1">
      <c r="J315" s="78">
        <v>15.937633588668213</v>
      </c>
      <c r="K315" s="78">
        <v>94.302908924972783</v>
      </c>
      <c r="L315" s="78">
        <v>8.978573766300741</v>
      </c>
      <c r="M315" s="78">
        <v>172.90421757876177</v>
      </c>
      <c r="N315" s="78">
        <v>5.7768072741614968E-4</v>
      </c>
      <c r="O315" s="78">
        <v>0.51848175535234753</v>
      </c>
      <c r="P315" s="78">
        <v>0.95063538611925713</v>
      </c>
      <c r="Q315" s="83">
        <v>0.59149039982487084</v>
      </c>
    </row>
    <row r="316" spans="10:17" ht="15" customHeight="1">
      <c r="J316" s="78">
        <v>15.989047173408199</v>
      </c>
      <c r="K316" s="78">
        <v>94.302335021001326</v>
      </c>
      <c r="L316" s="78">
        <v>9.3637931028086996</v>
      </c>
      <c r="M316" s="78">
        <v>172.51899824225382</v>
      </c>
      <c r="N316" s="78">
        <v>1.1553614548316579E-3</v>
      </c>
      <c r="O316" s="78">
        <v>0.51847860000176593</v>
      </c>
      <c r="P316" s="78">
        <v>0.94851743238840014</v>
      </c>
      <c r="Q316" s="83">
        <v>0.58958484336106209</v>
      </c>
    </row>
    <row r="317" spans="10:17" ht="15" customHeight="1">
      <c r="J317" s="78">
        <v>16.040460758148186</v>
      </c>
      <c r="K317" s="78">
        <v>94.123969224817216</v>
      </c>
      <c r="L317" s="78">
        <v>9.2452640761908924</v>
      </c>
      <c r="M317" s="78">
        <v>172.63752726887162</v>
      </c>
      <c r="N317" s="78">
        <v>5.7768072741614968E-4</v>
      </c>
      <c r="O317" s="78">
        <v>0.51749793660384324</v>
      </c>
      <c r="P317" s="78">
        <v>0.94916911045943286</v>
      </c>
      <c r="Q317" s="83">
        <v>0.58658310602633457</v>
      </c>
    </row>
    <row r="318" spans="10:17" ht="15" customHeight="1">
      <c r="J318" s="78">
        <v>16.091874342888168</v>
      </c>
      <c r="K318" s="78">
        <v>93.975237333001601</v>
      </c>
      <c r="L318" s="78">
        <v>8.711883456410618</v>
      </c>
      <c r="M318" s="78">
        <v>173.1709078886519</v>
      </c>
      <c r="N318" s="78">
        <v>5.7768072741614968E-4</v>
      </c>
      <c r="O318" s="78">
        <v>0.51668020178288687</v>
      </c>
      <c r="P318" s="78">
        <v>0.95210166177908118</v>
      </c>
      <c r="Q318" s="83">
        <v>0.58378470427084295</v>
      </c>
    </row>
    <row r="319" spans="10:17" ht="15" customHeight="1">
      <c r="J319" s="78">
        <v>16.143287927628155</v>
      </c>
      <c r="K319" s="78">
        <v>93.945036115517922</v>
      </c>
      <c r="L319" s="78">
        <v>9.7193801826622064</v>
      </c>
      <c r="M319" s="78">
        <v>172.16341116240031</v>
      </c>
      <c r="N319" s="78">
        <v>0</v>
      </c>
      <c r="O319" s="78">
        <v>0.51651415409217161</v>
      </c>
      <c r="P319" s="78">
        <v>0.9465623981753013</v>
      </c>
      <c r="Q319" s="83">
        <v>0.58173836858883055</v>
      </c>
    </row>
    <row r="320" spans="10:17" ht="15" customHeight="1">
      <c r="J320" s="78">
        <v>16.194701512368141</v>
      </c>
      <c r="K320" s="78">
        <v>94.003733315711685</v>
      </c>
      <c r="L320" s="78">
        <v>9.3341608461542194</v>
      </c>
      <c r="M320" s="78">
        <v>172.5486304989083</v>
      </c>
      <c r="N320" s="78">
        <v>5.7768072741614968E-4</v>
      </c>
      <c r="O320" s="78">
        <v>0.5168368740139393</v>
      </c>
      <c r="P320" s="78">
        <v>0.9486803519061584</v>
      </c>
      <c r="Q320" s="83">
        <v>0.58025396118112327</v>
      </c>
    </row>
    <row r="321" spans="10:17" ht="15" customHeight="1">
      <c r="J321" s="78">
        <v>16.246115097108131</v>
      </c>
      <c r="K321" s="78">
        <v>93.91427088034726</v>
      </c>
      <c r="L321" s="78">
        <v>9.2748963328453442</v>
      </c>
      <c r="M321" s="78">
        <v>172.60789501221717</v>
      </c>
      <c r="N321" s="78">
        <v>5.7768072741614968E-4</v>
      </c>
      <c r="O321" s="78">
        <v>0.51634500540612416</v>
      </c>
      <c r="P321" s="78">
        <v>0.94900619094167471</v>
      </c>
      <c r="Q321" s="83">
        <v>0.57786697946219867</v>
      </c>
    </row>
    <row r="322" spans="10:17" ht="15" customHeight="1">
      <c r="J322" s="78">
        <v>16.297528681848114</v>
      </c>
      <c r="K322" s="78">
        <v>93.913706862660263</v>
      </c>
      <c r="L322" s="78">
        <v>10.015702749206781</v>
      </c>
      <c r="M322" s="78">
        <v>171.86708859585573</v>
      </c>
      <c r="N322" s="78">
        <v>1.1553614548316579E-3</v>
      </c>
      <c r="O322" s="78">
        <v>0.51634190441079186</v>
      </c>
      <c r="P322" s="78">
        <v>0.94493320299771899</v>
      </c>
      <c r="Q322" s="83">
        <v>0.57604052986564902</v>
      </c>
    </row>
    <row r="323" spans="10:17" ht="15" customHeight="1">
      <c r="J323" s="78">
        <v>16.3489422665881</v>
      </c>
      <c r="K323" s="78">
        <v>93.942776749341789</v>
      </c>
      <c r="L323" s="78">
        <v>9.9268059792433974</v>
      </c>
      <c r="M323" s="78">
        <v>171.95598536581912</v>
      </c>
      <c r="N323" s="78">
        <v>5.7768072741614968E-4</v>
      </c>
      <c r="O323" s="78">
        <v>0.51650173199242588</v>
      </c>
      <c r="P323" s="78">
        <v>0.94542196155099378</v>
      </c>
      <c r="Q323" s="83">
        <v>0.57440682662710085</v>
      </c>
    </row>
    <row r="324" spans="10:17" ht="15" customHeight="1">
      <c r="J324" s="78">
        <v>16.400355851328086</v>
      </c>
      <c r="K324" s="78">
        <v>93.794054743810662</v>
      </c>
      <c r="L324" s="78">
        <v>10.460186599023643</v>
      </c>
      <c r="M324" s="78">
        <v>171.42260474603887</v>
      </c>
      <c r="N324" s="78">
        <v>1.1553614548316579E-3</v>
      </c>
      <c r="O324" s="78">
        <v>0.51568405152671881</v>
      </c>
      <c r="P324" s="78">
        <v>0.94248941023134569</v>
      </c>
      <c r="Q324" s="83">
        <v>0.57169929302163125</v>
      </c>
    </row>
    <row r="325" spans="10:17" ht="15" customHeight="1">
      <c r="J325" s="78">
        <v>16.451769436068069</v>
      </c>
      <c r="K325" s="78">
        <v>93.852760182574798</v>
      </c>
      <c r="L325" s="78">
        <v>9.897173722588974</v>
      </c>
      <c r="M325" s="78">
        <v>171.98561762247354</v>
      </c>
      <c r="N325" s="78">
        <v>1.1553614548316579E-3</v>
      </c>
      <c r="O325" s="78">
        <v>0.51600681674452742</v>
      </c>
      <c r="P325" s="78">
        <v>0.94558488106875183</v>
      </c>
      <c r="Q325" s="83">
        <v>0.57026950358393269</v>
      </c>
    </row>
    <row r="326" spans="10:17" ht="15" customHeight="1">
      <c r="J326" s="78">
        <v>16.503183020808056</v>
      </c>
      <c r="K326" s="78">
        <v>93.792938242435199</v>
      </c>
      <c r="L326" s="78">
        <v>10.400922085714711</v>
      </c>
      <c r="M326" s="78">
        <v>171.4818692593478</v>
      </c>
      <c r="N326" s="78">
        <v>-5.7768072741550837E-4</v>
      </c>
      <c r="O326" s="78">
        <v>0.51567791295051157</v>
      </c>
      <c r="P326" s="78">
        <v>0.94281524926686222</v>
      </c>
      <c r="Q326" s="83">
        <v>0.5681304136025277</v>
      </c>
    </row>
    <row r="327" spans="10:17" ht="15" customHeight="1">
      <c r="J327" s="78">
        <v>16.554596605548046</v>
      </c>
      <c r="K327" s="78">
        <v>93.851646976627492</v>
      </c>
      <c r="L327" s="78">
        <v>10.252760802442424</v>
      </c>
      <c r="M327" s="78">
        <v>171.63003054262009</v>
      </c>
      <c r="N327" s="78">
        <v>0</v>
      </c>
      <c r="O327" s="78">
        <v>0.51600069628673662</v>
      </c>
      <c r="P327" s="78">
        <v>0.94362984685565332</v>
      </c>
      <c r="Q327" s="83">
        <v>0.5667206089241057</v>
      </c>
    </row>
    <row r="328" spans="10:17" ht="15" customHeight="1">
      <c r="J328" s="78">
        <v>16.606010190288028</v>
      </c>
      <c r="K328" s="78">
        <v>93.702931561952667</v>
      </c>
      <c r="L328" s="78">
        <v>10.341657572405808</v>
      </c>
      <c r="M328" s="78">
        <v>171.54113377265671</v>
      </c>
      <c r="N328" s="78">
        <v>-5.7768072741550837E-4</v>
      </c>
      <c r="O328" s="78">
        <v>0.51518305205786241</v>
      </c>
      <c r="P328" s="78">
        <v>0.94314108830237864</v>
      </c>
      <c r="Q328" s="83">
        <v>0.5640704431700202</v>
      </c>
    </row>
    <row r="329" spans="10:17" ht="15" customHeight="1">
      <c r="J329" s="78">
        <v>16.657423775028015</v>
      </c>
      <c r="K329" s="78">
        <v>93.732011334918681</v>
      </c>
      <c r="L329" s="78">
        <v>10.786141422222698</v>
      </c>
      <c r="M329" s="78">
        <v>171.09664992283982</v>
      </c>
      <c r="N329" s="78">
        <v>5.7768072741614968E-4</v>
      </c>
      <c r="O329" s="78">
        <v>0.51534293399474584</v>
      </c>
      <c r="P329" s="78">
        <v>0.94069729553600512</v>
      </c>
      <c r="Q329" s="83">
        <v>0.56250400008824197</v>
      </c>
    </row>
    <row r="330" spans="10:17" ht="15" customHeight="1">
      <c r="J330" s="78">
        <v>16.708837359768005</v>
      </c>
      <c r="K330" s="78">
        <v>93.612931472326466</v>
      </c>
      <c r="L330" s="78">
        <v>10.934302705494986</v>
      </c>
      <c r="M330" s="78">
        <v>170.94848863956753</v>
      </c>
      <c r="N330" s="78">
        <v>0</v>
      </c>
      <c r="O330" s="78">
        <v>0.51468822740204623</v>
      </c>
      <c r="P330" s="78">
        <v>0.93988269794721391</v>
      </c>
      <c r="Q330" s="83">
        <v>0.56006048277729792</v>
      </c>
    </row>
    <row r="331" spans="10:17" ht="15" customHeight="1">
      <c r="J331" s="78">
        <v>16.760250944507987</v>
      </c>
      <c r="K331" s="78">
        <v>93.464221000793884</v>
      </c>
      <c r="L331" s="78">
        <v>11.319522042002916</v>
      </c>
      <c r="M331" s="78">
        <v>170.5632693030596</v>
      </c>
      <c r="N331" s="78">
        <v>-5.7768072741550837E-4</v>
      </c>
      <c r="O331" s="78">
        <v>0.51387061035079673</v>
      </c>
      <c r="P331" s="78">
        <v>0.93776474421635714</v>
      </c>
      <c r="Q331" s="83">
        <v>0.55745516592442867</v>
      </c>
    </row>
    <row r="332" spans="10:17" ht="15" customHeight="1">
      <c r="J332" s="78">
        <v>16.81166452924797</v>
      </c>
      <c r="K332" s="78">
        <v>93.61183474351995</v>
      </c>
      <c r="L332" s="78">
        <v>11.289889785348464</v>
      </c>
      <c r="M332" s="78">
        <v>170.59290155971405</v>
      </c>
      <c r="N332" s="78">
        <v>0</v>
      </c>
      <c r="O332" s="78">
        <v>0.5146821975363377</v>
      </c>
      <c r="P332" s="78">
        <v>0.93792766373411529</v>
      </c>
      <c r="Q332" s="83">
        <v>0.55662839507641371</v>
      </c>
    </row>
    <row r="333" spans="10:17" ht="15" customHeight="1">
      <c r="J333" s="78">
        <v>16.86307811398796</v>
      </c>
      <c r="K333" s="78">
        <v>93.522392080724401</v>
      </c>
      <c r="L333" s="78">
        <v>11.260257528694012</v>
      </c>
      <c r="M333" s="78">
        <v>170.6225338163685</v>
      </c>
      <c r="N333" s="78">
        <v>1.1553614548316579E-3</v>
      </c>
      <c r="O333" s="78">
        <v>0.51419043763902084</v>
      </c>
      <c r="P333" s="78">
        <v>0.93809058325187344</v>
      </c>
      <c r="Q333" s="83">
        <v>0.55440089383467173</v>
      </c>
    </row>
    <row r="334" spans="10:17" ht="15" customHeight="1">
      <c r="J334" s="78">
        <v>16.914491698727947</v>
      </c>
      <c r="K334" s="78">
        <v>93.521847835606323</v>
      </c>
      <c r="L334" s="78">
        <v>11.793638148474258</v>
      </c>
      <c r="M334" s="78">
        <v>170.08915319658826</v>
      </c>
      <c r="N334" s="78">
        <v>5.7768072741614968E-4</v>
      </c>
      <c r="O334" s="78">
        <v>0.51418744535418692</v>
      </c>
      <c r="P334" s="78">
        <v>0.93515803193222535</v>
      </c>
      <c r="Q334" s="83">
        <v>0.55271250955712048</v>
      </c>
    </row>
    <row r="335" spans="10:17" ht="15" customHeight="1">
      <c r="J335" s="78">
        <v>16.965905283467929</v>
      </c>
      <c r="K335" s="78">
        <v>93.373143954930029</v>
      </c>
      <c r="L335" s="78">
        <v>11.912167175092065</v>
      </c>
      <c r="M335" s="78">
        <v>169.97062416997045</v>
      </c>
      <c r="N335" s="78">
        <v>5.7768072741614968E-4</v>
      </c>
      <c r="O335" s="78">
        <v>0.51336986453977018</v>
      </c>
      <c r="P335" s="78">
        <v>0.93450635386119263</v>
      </c>
      <c r="Q335" s="83">
        <v>0.55016107956907423</v>
      </c>
    </row>
    <row r="336" spans="10:17" ht="15" customHeight="1">
      <c r="J336" s="78">
        <v>17.017318868207916</v>
      </c>
      <c r="K336" s="78">
        <v>93.372603005240094</v>
      </c>
      <c r="L336" s="78">
        <v>12.327018768254476</v>
      </c>
      <c r="M336" s="78">
        <v>169.55577257680804</v>
      </c>
      <c r="N336" s="78">
        <v>5.7768072741614968E-4</v>
      </c>
      <c r="O336" s="78">
        <v>0.5133668903733527</v>
      </c>
      <c r="P336" s="78">
        <v>0.93222548061257737</v>
      </c>
      <c r="Q336" s="83">
        <v>0.54849572626203802</v>
      </c>
    </row>
    <row r="337" spans="10:17" ht="15" customHeight="1">
      <c r="J337" s="78">
        <v>17.068732452947906</v>
      </c>
      <c r="K337" s="78">
        <v>93.194270163337521</v>
      </c>
      <c r="L337" s="78">
        <v>12.089960715018833</v>
      </c>
      <c r="M337" s="78">
        <v>169.79283063004368</v>
      </c>
      <c r="N337" s="78">
        <v>1.1553614548316579E-3</v>
      </c>
      <c r="O337" s="78">
        <v>0.51238640815959424</v>
      </c>
      <c r="P337" s="78">
        <v>0.93352883675464315</v>
      </c>
      <c r="Q337" s="83">
        <v>0.54579878225527889</v>
      </c>
    </row>
    <row r="338" spans="10:17" ht="15" customHeight="1">
      <c r="J338" s="78">
        <v>17.120146037687888</v>
      </c>
      <c r="K338" s="78">
        <v>93.22336476573021</v>
      </c>
      <c r="L338" s="78">
        <v>12.060328458364381</v>
      </c>
      <c r="M338" s="78">
        <v>169.82246288669813</v>
      </c>
      <c r="N338" s="78">
        <v>5.7768072741614968E-4</v>
      </c>
      <c r="O338" s="78">
        <v>0.51254637162935146</v>
      </c>
      <c r="P338" s="78">
        <v>0.93369175627240131</v>
      </c>
      <c r="Q338" s="83">
        <v>0.54432963522535149</v>
      </c>
    </row>
    <row r="339" spans="10:17" ht="15" customHeight="1">
      <c r="J339" s="78">
        <v>17.171559622427875</v>
      </c>
      <c r="K339" s="78">
        <v>93.163564245873616</v>
      </c>
      <c r="L339" s="78">
        <v>11.912167175092065</v>
      </c>
      <c r="M339" s="78">
        <v>169.97062416997045</v>
      </c>
      <c r="N339" s="78">
        <v>0</v>
      </c>
      <c r="O339" s="78">
        <v>0.51221758560504238</v>
      </c>
      <c r="P339" s="78">
        <v>0.93450635386119263</v>
      </c>
      <c r="Q339" s="83">
        <v>0.54235159767025132</v>
      </c>
    </row>
    <row r="340" spans="10:17" ht="15" customHeight="1">
      <c r="J340" s="78">
        <v>17.222973207167861</v>
      </c>
      <c r="K340" s="78">
        <v>93.192662143694449</v>
      </c>
      <c r="L340" s="78">
        <v>12.20848974163664</v>
      </c>
      <c r="M340" s="78">
        <v>169.67430160342587</v>
      </c>
      <c r="N340" s="78">
        <v>5.7768072741614968E-4</v>
      </c>
      <c r="O340" s="78">
        <v>0.51237756719321592</v>
      </c>
      <c r="P340" s="78">
        <v>0.93287715868361032</v>
      </c>
      <c r="Q340" s="83">
        <v>0.54090153154385168</v>
      </c>
    </row>
    <row r="341" spans="10:17" ht="15" customHeight="1">
      <c r="J341" s="78">
        <v>17.274386791907848</v>
      </c>
      <c r="K341" s="78">
        <v>93.103232662611546</v>
      </c>
      <c r="L341" s="78">
        <v>12.712238104762463</v>
      </c>
      <c r="M341" s="78">
        <v>169.17055324030005</v>
      </c>
      <c r="N341" s="78">
        <v>0</v>
      </c>
      <c r="O341" s="78">
        <v>0.51188587976956501</v>
      </c>
      <c r="P341" s="78">
        <v>0.93010752688172027</v>
      </c>
      <c r="Q341" s="83">
        <v>0.53877395183413213</v>
      </c>
    </row>
    <row r="342" spans="10:17" ht="15" customHeight="1">
      <c r="J342" s="78">
        <v>17.32580037664783</v>
      </c>
      <c r="K342" s="78">
        <v>93.013804829242716</v>
      </c>
      <c r="L342" s="78">
        <v>12.712238104762463</v>
      </c>
      <c r="M342" s="78">
        <v>169.17055324030005</v>
      </c>
      <c r="N342" s="78">
        <v>5.7768072741614968E-4</v>
      </c>
      <c r="O342" s="78">
        <v>0.51139420140512215</v>
      </c>
      <c r="P342" s="78">
        <v>0.93010752688172027</v>
      </c>
      <c r="Q342" s="83">
        <v>0.53665900864140159</v>
      </c>
    </row>
    <row r="343" spans="10:17" ht="15" customHeight="1">
      <c r="J343" s="78">
        <v>17.37721396138782</v>
      </c>
      <c r="K343" s="78">
        <v>93.042907670205793</v>
      </c>
      <c r="L343" s="78">
        <v>12.741870361416943</v>
      </c>
      <c r="M343" s="78">
        <v>169.14092098364557</v>
      </c>
      <c r="N343" s="78">
        <v>5.7768072741614968E-4</v>
      </c>
      <c r="O343" s="78">
        <v>0.51155421017092051</v>
      </c>
      <c r="P343" s="78">
        <v>0.92994460736396189</v>
      </c>
      <c r="Q343" s="83">
        <v>0.53523868433764377</v>
      </c>
    </row>
    <row r="344" spans="10:17" ht="15" customHeight="1">
      <c r="J344" s="78">
        <v>17.428627546127803</v>
      </c>
      <c r="K344" s="78">
        <v>92.953483132265092</v>
      </c>
      <c r="L344" s="78">
        <v>13.156721954579325</v>
      </c>
      <c r="M344" s="78">
        <v>168.72606939048319</v>
      </c>
      <c r="N344" s="78">
        <v>5.7768072741614968E-4</v>
      </c>
      <c r="O344" s="78">
        <v>0.51106254992489397</v>
      </c>
      <c r="P344" s="78">
        <v>0.92766373411534686</v>
      </c>
      <c r="Q344" s="83">
        <v>0.53314666687092827</v>
      </c>
    </row>
    <row r="345" spans="10:17" ht="15" customHeight="1">
      <c r="J345" s="78">
        <v>17.480041130867789</v>
      </c>
      <c r="K345" s="78">
        <v>92.775163472075121</v>
      </c>
      <c r="L345" s="78">
        <v>13.304883237851612</v>
      </c>
      <c r="M345" s="78">
        <v>168.5779081072109</v>
      </c>
      <c r="N345" s="78">
        <v>5.7768072741614968E-4</v>
      </c>
      <c r="O345" s="78">
        <v>0.51008214018480114</v>
      </c>
      <c r="P345" s="78">
        <v>0.92684913652655576</v>
      </c>
      <c r="Q345" s="83">
        <v>0.53055840366168949</v>
      </c>
    </row>
    <row r="346" spans="10:17" ht="15" customHeight="1">
      <c r="J346" s="78">
        <v>17.531454715607776</v>
      </c>
      <c r="K346" s="78">
        <v>92.804271256180428</v>
      </c>
      <c r="L346" s="78">
        <v>13.334515494506093</v>
      </c>
      <c r="M346" s="78">
        <v>168.54827585055642</v>
      </c>
      <c r="N346" s="78">
        <v>1.1553614548316579E-3</v>
      </c>
      <c r="O346" s="78">
        <v>0.51024217612822409</v>
      </c>
      <c r="P346" s="78">
        <v>0.92668621700879739</v>
      </c>
      <c r="Q346" s="83">
        <v>0.52916849441394453</v>
      </c>
    </row>
    <row r="347" spans="10:17" ht="15" customHeight="1">
      <c r="J347" s="78">
        <v>17.582868300347762</v>
      </c>
      <c r="K347" s="78">
        <v>92.89264520130871</v>
      </c>
      <c r="L347" s="78">
        <v>12.652973591453531</v>
      </c>
      <c r="M347" s="78">
        <v>169.22981775360898</v>
      </c>
      <c r="N347" s="78">
        <v>1.1553614548316579E-3</v>
      </c>
      <c r="O347" s="78">
        <v>0.51072806016637162</v>
      </c>
      <c r="P347" s="78">
        <v>0.9304333659172368</v>
      </c>
      <c r="Q347" s="83">
        <v>0.52812378120773296</v>
      </c>
    </row>
    <row r="348" spans="10:17" ht="15" customHeight="1">
      <c r="J348" s="78">
        <v>17.634281885087749</v>
      </c>
      <c r="K348" s="78">
        <v>92.832859510878805</v>
      </c>
      <c r="L348" s="78">
        <v>13.364147751160544</v>
      </c>
      <c r="M348" s="78">
        <v>168.51864359390197</v>
      </c>
      <c r="N348" s="78">
        <v>1.1553614548316579E-3</v>
      </c>
      <c r="O348" s="78">
        <v>0.51039935567493644</v>
      </c>
      <c r="P348" s="78">
        <v>0.92652329749103923</v>
      </c>
      <c r="Q348" s="83">
        <v>0.5262449802428163</v>
      </c>
    </row>
    <row r="349" spans="10:17" ht="15" customHeight="1">
      <c r="J349" s="78">
        <v>17.685695469827735</v>
      </c>
      <c r="K349" s="78">
        <v>92.62491418489067</v>
      </c>
      <c r="L349" s="78">
        <v>14.401276734066528</v>
      </c>
      <c r="M349" s="78">
        <v>167.48151461099599</v>
      </c>
      <c r="N349" s="78">
        <v>5.7768072741614968E-4</v>
      </c>
      <c r="O349" s="78">
        <v>0.5092560626539181</v>
      </c>
      <c r="P349" s="78">
        <v>0.92082111436950154</v>
      </c>
      <c r="Q349" s="83">
        <v>0.52353936577794224</v>
      </c>
    </row>
    <row r="350" spans="10:17" ht="15" customHeight="1">
      <c r="J350" s="78">
        <v>17.737109054567721</v>
      </c>
      <c r="K350" s="78">
        <v>92.594764046543375</v>
      </c>
      <c r="L350" s="78">
        <v>13.482676777778323</v>
      </c>
      <c r="M350" s="78">
        <v>168.40011456728419</v>
      </c>
      <c r="N350" s="78">
        <v>0</v>
      </c>
      <c r="O350" s="78">
        <v>0.5090902957986575</v>
      </c>
      <c r="P350" s="78">
        <v>0.92587161942000662</v>
      </c>
      <c r="Q350" s="83">
        <v>0.52185182756132609</v>
      </c>
    </row>
    <row r="351" spans="10:17" ht="15" customHeight="1">
      <c r="J351" s="78">
        <v>17.788522639307704</v>
      </c>
      <c r="K351" s="78">
        <v>92.564615555910152</v>
      </c>
      <c r="L351" s="78">
        <v>13.86789611428631</v>
      </c>
      <c r="M351" s="78">
        <v>168.0148952307762</v>
      </c>
      <c r="N351" s="78">
        <v>5.7768072741614968E-4</v>
      </c>
      <c r="O351" s="78">
        <v>0.50892453800260506</v>
      </c>
      <c r="P351" s="78">
        <v>0.92375366568914941</v>
      </c>
      <c r="Q351" s="83">
        <v>0.52017405348044699</v>
      </c>
    </row>
    <row r="352" spans="10:17" ht="15" customHeight="1">
      <c r="J352" s="78">
        <v>17.83993622404769</v>
      </c>
      <c r="K352" s="78">
        <v>92.44557194302763</v>
      </c>
      <c r="L352" s="78">
        <v>14.46054124737546</v>
      </c>
      <c r="M352" s="78">
        <v>167.42225009768705</v>
      </c>
      <c r="N352" s="78">
        <v>1.1553614548316579E-3</v>
      </c>
      <c r="O352" s="78">
        <v>0.50827003071248611</v>
      </c>
      <c r="P352" s="78">
        <v>0.92049527533398501</v>
      </c>
      <c r="Q352" s="83">
        <v>0.51800765705497587</v>
      </c>
    </row>
    <row r="353" spans="10:17" ht="15" customHeight="1">
      <c r="J353" s="78">
        <v>17.891349808787677</v>
      </c>
      <c r="K353" s="78">
        <v>92.415426747822565</v>
      </c>
      <c r="L353" s="78">
        <v>14.075321910867473</v>
      </c>
      <c r="M353" s="78">
        <v>167.80746943419504</v>
      </c>
      <c r="N353" s="78">
        <v>-5.7768072741550837E-4</v>
      </c>
      <c r="O353" s="78">
        <v>0.50810429103485011</v>
      </c>
      <c r="P353" s="78">
        <v>0.92261322906484211</v>
      </c>
      <c r="Q353" s="83">
        <v>0.51635059090796542</v>
      </c>
    </row>
    <row r="354" spans="10:17" ht="15" customHeight="1">
      <c r="J354" s="78">
        <v>17.942763393527663</v>
      </c>
      <c r="K354" s="78">
        <v>92.444547713640475</v>
      </c>
      <c r="L354" s="78">
        <v>14.164218680830885</v>
      </c>
      <c r="M354" s="78">
        <v>167.71857266423163</v>
      </c>
      <c r="N354" s="78">
        <v>1.1553614548316579E-3</v>
      </c>
      <c r="O354" s="78">
        <v>0.50826439945193869</v>
      </c>
      <c r="P354" s="78">
        <v>0.92212447051156721</v>
      </c>
      <c r="Q354" s="83">
        <v>0.51503332791112266</v>
      </c>
    </row>
    <row r="355" spans="10:17" ht="15" customHeight="1">
      <c r="J355" s="78">
        <v>17.993599297540232</v>
      </c>
      <c r="K355" s="78">
        <v>92.266250247765683</v>
      </c>
      <c r="L355" s="78">
        <v>14.075321910867473</v>
      </c>
      <c r="M355" s="78">
        <v>167.80746943419504</v>
      </c>
      <c r="N355" s="78">
        <v>5.7768072741614968E-4</v>
      </c>
      <c r="O355" s="78">
        <v>0.50728411173721732</v>
      </c>
      <c r="P355" s="78">
        <v>0.92261322906484211</v>
      </c>
      <c r="Q355" s="83">
        <v>0.51258735083445972</v>
      </c>
    </row>
    <row r="356" spans="10:17" ht="15" customHeight="1">
      <c r="J356" s="78">
        <v>18.045590563007636</v>
      </c>
      <c r="K356" s="78">
        <v>92.325001048491785</v>
      </c>
      <c r="L356" s="78">
        <v>13.690102574359571</v>
      </c>
      <c r="M356" s="78">
        <v>168.19268877070294</v>
      </c>
      <c r="N356" s="78">
        <v>1.1553614548316579E-3</v>
      </c>
      <c r="O356" s="78">
        <v>0.50760712635719119</v>
      </c>
      <c r="P356" s="78">
        <v>0.92473118279569877</v>
      </c>
      <c r="Q356" s="83">
        <v>0.51143610089961711</v>
      </c>
    </row>
    <row r="357" spans="10:17" ht="15" customHeight="1">
      <c r="J357" s="78">
        <v>18.097004147747619</v>
      </c>
      <c r="K357" s="78">
        <v>92.265230187488584</v>
      </c>
      <c r="L357" s="78">
        <v>14.638334787302227</v>
      </c>
      <c r="M357" s="78">
        <v>167.24445655776029</v>
      </c>
      <c r="N357" s="78">
        <v>0</v>
      </c>
      <c r="O357" s="78">
        <v>0.5072785033986299</v>
      </c>
      <c r="P357" s="78">
        <v>0.91951775822743542</v>
      </c>
      <c r="Q357" s="83">
        <v>0.509652830632918</v>
      </c>
    </row>
    <row r="358" spans="10:17" ht="15" customHeight="1">
      <c r="J358" s="78">
        <v>18.147840051760191</v>
      </c>
      <c r="K358" s="78">
        <v>92.17583437917844</v>
      </c>
      <c r="L358" s="78">
        <v>14.490173504029912</v>
      </c>
      <c r="M358" s="78">
        <v>167.3926178410326</v>
      </c>
      <c r="N358" s="78">
        <v>-5.7768072741550837E-4</v>
      </c>
      <c r="O358" s="78">
        <v>0.50678700110944108</v>
      </c>
      <c r="P358" s="78">
        <v>0.92033235581622674</v>
      </c>
      <c r="Q358" s="83">
        <v>0.50773258871380178</v>
      </c>
    </row>
    <row r="359" spans="10:17" ht="15" customHeight="1">
      <c r="J359" s="78">
        <v>18.199831317227591</v>
      </c>
      <c r="K359" s="78">
        <v>92.204957921933271</v>
      </c>
      <c r="L359" s="78">
        <v>15.112450893773541</v>
      </c>
      <c r="M359" s="78">
        <v>166.77034045128897</v>
      </c>
      <c r="N359" s="78">
        <v>5.7768072741614968E-4</v>
      </c>
      <c r="O359" s="78">
        <v>0.50694712369464812</v>
      </c>
      <c r="P359" s="78">
        <v>0.91691104594330386</v>
      </c>
      <c r="Q359" s="83">
        <v>0.50644217535109359</v>
      </c>
    </row>
    <row r="360" spans="10:17" ht="15" customHeight="1">
      <c r="J360" s="78">
        <v>18.250667221240164</v>
      </c>
      <c r="K360" s="78">
        <v>92.115565372024022</v>
      </c>
      <c r="L360" s="78">
        <v>15.08281863711909</v>
      </c>
      <c r="M360" s="78">
        <v>166.79997270794343</v>
      </c>
      <c r="N360" s="78">
        <v>1.1553614548316579E-3</v>
      </c>
      <c r="O360" s="78">
        <v>0.50645563932029813</v>
      </c>
      <c r="P360" s="78">
        <v>0.91707396546106212</v>
      </c>
      <c r="Q360" s="83">
        <v>0.5045417132811576</v>
      </c>
    </row>
    <row r="361" spans="10:17" ht="15" customHeight="1">
      <c r="J361" s="78">
        <v>18.302658486707564</v>
      </c>
      <c r="K361" s="78">
        <v>92.115059990579823</v>
      </c>
      <c r="L361" s="78">
        <v>15.142083150428022</v>
      </c>
      <c r="M361" s="78">
        <v>166.74070819463449</v>
      </c>
      <c r="N361" s="78">
        <v>1.1553614548316579E-3</v>
      </c>
      <c r="O361" s="78">
        <v>0.50645286070974094</v>
      </c>
      <c r="P361" s="78">
        <v>0.9167481264255456</v>
      </c>
      <c r="Q361" s="83">
        <v>0.50310573061677666</v>
      </c>
    </row>
    <row r="362" spans="10:17" ht="15" customHeight="1">
      <c r="J362" s="78">
        <v>18.353494390720133</v>
      </c>
      <c r="K362" s="78">
        <v>91.996038442416975</v>
      </c>
      <c r="L362" s="78">
        <v>14.993921867155706</v>
      </c>
      <c r="M362" s="78">
        <v>166.88886947790681</v>
      </c>
      <c r="N362" s="78">
        <v>5.7768072741614968E-4</v>
      </c>
      <c r="O362" s="78">
        <v>0.50579847473247141</v>
      </c>
      <c r="P362" s="78">
        <v>0.91756272401433681</v>
      </c>
      <c r="Q362" s="83">
        <v>0.50106372223143925</v>
      </c>
    </row>
    <row r="363" spans="10:17" ht="15" customHeight="1">
      <c r="J363" s="78">
        <v>18.405485656187537</v>
      </c>
      <c r="K363" s="78">
        <v>92.232594446663867</v>
      </c>
      <c r="L363" s="78">
        <v>13.956792884249694</v>
      </c>
      <c r="M363" s="78">
        <v>167.92599846081282</v>
      </c>
      <c r="N363" s="78">
        <v>1.1553614548316579E-3</v>
      </c>
      <c r="O363" s="78">
        <v>0.50709907058597414</v>
      </c>
      <c r="P363" s="78">
        <v>0.92326490713587472</v>
      </c>
      <c r="Q363" s="83">
        <v>0.5009335796957477</v>
      </c>
    </row>
    <row r="364" spans="10:17" ht="15" customHeight="1">
      <c r="J364" s="78">
        <v>18.45689924092752</v>
      </c>
      <c r="K364" s="78">
        <v>92.083938349695813</v>
      </c>
      <c r="L364" s="78">
        <v>15.2606121770458</v>
      </c>
      <c r="M364" s="78">
        <v>166.62217916801671</v>
      </c>
      <c r="N364" s="78">
        <v>1.1553614548316579E-3</v>
      </c>
      <c r="O364" s="78">
        <v>0.50628175248859553</v>
      </c>
      <c r="P364" s="78">
        <v>0.91609644835451298</v>
      </c>
      <c r="Q364" s="83">
        <v>0.4987327549409849</v>
      </c>
    </row>
    <row r="365" spans="10:17" ht="15" customHeight="1">
      <c r="J365" s="78">
        <v>18.507735144940092</v>
      </c>
      <c r="K365" s="78">
        <v>91.905657175825368</v>
      </c>
      <c r="L365" s="78">
        <v>15.586567000244855</v>
      </c>
      <c r="M365" s="78">
        <v>166.29622434481766</v>
      </c>
      <c r="N365" s="78">
        <v>5.7768072741614968E-4</v>
      </c>
      <c r="O365" s="78">
        <v>0.50530155434806767</v>
      </c>
      <c r="P365" s="78">
        <v>0.9143043336591723</v>
      </c>
      <c r="Q365" s="83">
        <v>0.49639958734878731</v>
      </c>
    </row>
    <row r="366" spans="10:17" ht="15" customHeight="1">
      <c r="J366" s="78">
        <v>18.559726410407492</v>
      </c>
      <c r="K366" s="78">
        <v>92.053321408792044</v>
      </c>
      <c r="L366" s="78">
        <v>14.43090899072098</v>
      </c>
      <c r="M366" s="78">
        <v>167.45188235434154</v>
      </c>
      <c r="N366" s="78">
        <v>1.1553614548316579E-3</v>
      </c>
      <c r="O366" s="78">
        <v>0.50611341913128705</v>
      </c>
      <c r="P366" s="78">
        <v>0.92065819485174327</v>
      </c>
      <c r="Q366" s="83">
        <v>0.49580464218726278</v>
      </c>
    </row>
    <row r="367" spans="10:17" ht="15" customHeight="1">
      <c r="J367" s="78">
        <v>18.610562314420065</v>
      </c>
      <c r="K367" s="78">
        <v>91.875043493322451</v>
      </c>
      <c r="L367" s="78">
        <v>15.112450893773541</v>
      </c>
      <c r="M367" s="78">
        <v>166.77034045128897</v>
      </c>
      <c r="N367" s="78">
        <v>5.7768072741614968E-4</v>
      </c>
      <c r="O367" s="78">
        <v>0.5051332389055978</v>
      </c>
      <c r="P367" s="78">
        <v>0.91691104594330386</v>
      </c>
      <c r="Q367" s="83">
        <v>0.49349238165374648</v>
      </c>
    </row>
    <row r="368" spans="10:17" ht="15" customHeight="1">
      <c r="J368" s="78">
        <v>18.662553579887469</v>
      </c>
      <c r="K368" s="78">
        <v>92.022711058744576</v>
      </c>
      <c r="L368" s="78">
        <v>14.816128327228967</v>
      </c>
      <c r="M368" s="78">
        <v>167.06666301783355</v>
      </c>
      <c r="N368" s="78">
        <v>5.7768072741614968E-4</v>
      </c>
      <c r="O368" s="78">
        <v>0.50594512201081121</v>
      </c>
      <c r="P368" s="78">
        <v>0.91854024112088617</v>
      </c>
      <c r="Q368" s="83">
        <v>0.49290883145350889</v>
      </c>
    </row>
    <row r="369" spans="10:17" ht="15" customHeight="1">
      <c r="J369" s="78">
        <v>18.713967164627451</v>
      </c>
      <c r="K369" s="78">
        <v>91.962959970310308</v>
      </c>
      <c r="L369" s="78">
        <v>14.697599300611131</v>
      </c>
      <c r="M369" s="78">
        <v>167.18519204445138</v>
      </c>
      <c r="N369" s="78">
        <v>0</v>
      </c>
      <c r="O369" s="78">
        <v>0.50561660776274853</v>
      </c>
      <c r="P369" s="78">
        <v>0.91919191919191912</v>
      </c>
      <c r="Q369" s="83">
        <v>0.49123535845107447</v>
      </c>
    </row>
    <row r="370" spans="10:17" ht="15" customHeight="1">
      <c r="J370" s="78">
        <v>18.765380749367438</v>
      </c>
      <c r="K370" s="78">
        <v>91.873578272935589</v>
      </c>
      <c r="L370" s="78">
        <v>15.793992796826075</v>
      </c>
      <c r="M370" s="78">
        <v>166.08879854823644</v>
      </c>
      <c r="N370" s="78">
        <v>5.7768072741614968E-4</v>
      </c>
      <c r="O370" s="78">
        <v>0.50512518305613541</v>
      </c>
      <c r="P370" s="78">
        <v>0.91316389703486467</v>
      </c>
      <c r="Q370" s="83">
        <v>0.48941315505839211</v>
      </c>
    </row>
    <row r="371" spans="10:17" ht="15" customHeight="1">
      <c r="J371" s="78">
        <v>18.816794334107424</v>
      </c>
      <c r="K371" s="78">
        <v>91.695301453311615</v>
      </c>
      <c r="L371" s="78">
        <v>15.616199256899336</v>
      </c>
      <c r="M371" s="78">
        <v>166.26659208816318</v>
      </c>
      <c r="N371" s="78">
        <v>5.7768072741614968E-4</v>
      </c>
      <c r="O371" s="78">
        <v>0.5041450088554561</v>
      </c>
      <c r="P371" s="78">
        <v>0.91414141414141403</v>
      </c>
      <c r="Q371" s="83">
        <v>0.48712848499613121</v>
      </c>
    </row>
    <row r="372" spans="10:17" ht="15" customHeight="1">
      <c r="J372" s="78">
        <v>18.868207918847411</v>
      </c>
      <c r="K372" s="78">
        <v>91.724452077982903</v>
      </c>
      <c r="L372" s="78">
        <v>15.675463770208239</v>
      </c>
      <c r="M372" s="78">
        <v>166.20732757485428</v>
      </c>
      <c r="N372" s="78">
        <v>1.7330421822471661E-3</v>
      </c>
      <c r="O372" s="78">
        <v>0.50430528033829247</v>
      </c>
      <c r="P372" s="78">
        <v>0.91381557510589762</v>
      </c>
      <c r="Q372" s="83">
        <v>0.48595561477598831</v>
      </c>
    </row>
    <row r="373" spans="10:17" ht="15" customHeight="1">
      <c r="J373" s="78">
        <v>18.919621503587393</v>
      </c>
      <c r="K373" s="78">
        <v>91.575810810441538</v>
      </c>
      <c r="L373" s="78">
        <v>15.705096026862691</v>
      </c>
      <c r="M373" s="78">
        <v>166.17769531819982</v>
      </c>
      <c r="N373" s="78">
        <v>5.7768072741614968E-4</v>
      </c>
      <c r="O373" s="78">
        <v>0.50348804377378775</v>
      </c>
      <c r="P373" s="78">
        <v>0.91365265558813935</v>
      </c>
      <c r="Q373" s="83">
        <v>0.48384939679870281</v>
      </c>
    </row>
    <row r="374" spans="10:17" ht="15" customHeight="1">
      <c r="J374" s="78">
        <v>18.971035088327383</v>
      </c>
      <c r="K374" s="78">
        <v>91.72349375715882</v>
      </c>
      <c r="L374" s="78">
        <v>15.705096026862691</v>
      </c>
      <c r="M374" s="78">
        <v>166.17769531819982</v>
      </c>
      <c r="N374" s="78">
        <v>0</v>
      </c>
      <c r="O374" s="78">
        <v>0.5043000114460735</v>
      </c>
      <c r="P374" s="78">
        <v>0.91365265558813935</v>
      </c>
      <c r="Q374" s="83">
        <v>0.48331657730599131</v>
      </c>
    </row>
    <row r="375" spans="10:17" ht="15" customHeight="1">
      <c r="J375" s="78">
        <v>19.02244867306737</v>
      </c>
      <c r="K375" s="78">
        <v>91.663752555009012</v>
      </c>
      <c r="L375" s="78">
        <v>15.230979920391377</v>
      </c>
      <c r="M375" s="78">
        <v>166.65181142467114</v>
      </c>
      <c r="N375" s="78">
        <v>1.7330421822471661E-3</v>
      </c>
      <c r="O375" s="78">
        <v>0.50397155155326001</v>
      </c>
      <c r="P375" s="78">
        <v>0.91625936787227102</v>
      </c>
      <c r="Q375" s="83">
        <v>0.48169622029789577</v>
      </c>
    </row>
    <row r="376" spans="10:17" ht="15" customHeight="1">
      <c r="J376" s="78">
        <v>19.073862257807352</v>
      </c>
      <c r="K376" s="78">
        <v>91.485483973955411</v>
      </c>
      <c r="L376" s="78">
        <v>16.208844389988485</v>
      </c>
      <c r="M376" s="78">
        <v>165.67394695507403</v>
      </c>
      <c r="N376" s="78">
        <v>1.1553614548316579E-3</v>
      </c>
      <c r="O376" s="78">
        <v>0.50299142264862173</v>
      </c>
      <c r="P376" s="78">
        <v>0.91088302378624952</v>
      </c>
      <c r="Q376" s="83">
        <v>0.47946318605601634</v>
      </c>
    </row>
    <row r="377" spans="10:17" ht="15" customHeight="1">
      <c r="J377" s="78">
        <v>19.125275842547339</v>
      </c>
      <c r="K377" s="78">
        <v>91.396113810579251</v>
      </c>
      <c r="L377" s="78">
        <v>16.50516695653306</v>
      </c>
      <c r="M377" s="78">
        <v>165.37762438852945</v>
      </c>
      <c r="N377" s="78">
        <v>5.7768072741614968E-4</v>
      </c>
      <c r="O377" s="78">
        <v>0.50250006135646619</v>
      </c>
      <c r="P377" s="78">
        <v>0.90925382860866721</v>
      </c>
      <c r="Q377" s="83">
        <v>0.47770697936074402</v>
      </c>
    </row>
    <row r="378" spans="10:17" ht="15" customHeight="1">
      <c r="J378" s="78">
        <v>19.176689427287325</v>
      </c>
      <c r="K378" s="78">
        <v>91.395642064880562</v>
      </c>
      <c r="L378" s="78">
        <v>15.793992796826075</v>
      </c>
      <c r="M378" s="78">
        <v>166.08879854823644</v>
      </c>
      <c r="N378" s="78">
        <v>5.7768072741614968E-4</v>
      </c>
      <c r="O378" s="78">
        <v>0.50249746767679371</v>
      </c>
      <c r="P378" s="78">
        <v>0.91316389703486467</v>
      </c>
      <c r="Q378" s="83">
        <v>0.47642376502244965</v>
      </c>
    </row>
    <row r="379" spans="10:17" ht="15" customHeight="1">
      <c r="J379" s="78">
        <v>19.228103012027312</v>
      </c>
      <c r="K379" s="78">
        <v>91.424804223550382</v>
      </c>
      <c r="L379" s="78">
        <v>16.416270186569676</v>
      </c>
      <c r="M379" s="78">
        <v>165.46652115849284</v>
      </c>
      <c r="N379" s="78">
        <v>5.7768072741614968E-4</v>
      </c>
      <c r="O379" s="78">
        <v>0.50265780257408754</v>
      </c>
      <c r="P379" s="78">
        <v>0.90974258716194201</v>
      </c>
      <c r="Q379" s="83">
        <v>0.47530153066918829</v>
      </c>
    </row>
    <row r="380" spans="10:17" ht="15" customHeight="1">
      <c r="J380" s="78">
        <v>19.278938916039881</v>
      </c>
      <c r="K380" s="78">
        <v>91.276179744340936</v>
      </c>
      <c r="L380" s="78">
        <v>16.742225009768703</v>
      </c>
      <c r="M380" s="78">
        <v>165.14056633529381</v>
      </c>
      <c r="N380" s="78">
        <v>5.7768072741614968E-4</v>
      </c>
      <c r="O380" s="78">
        <v>0.50184065831260827</v>
      </c>
      <c r="P380" s="78">
        <v>0.90795047246660154</v>
      </c>
      <c r="Q380" s="83">
        <v>0.47327730977814109</v>
      </c>
    </row>
    <row r="381" spans="10:17" ht="15" customHeight="1">
      <c r="J381" s="78">
        <v>19.330930181507284</v>
      </c>
      <c r="K381" s="78">
        <v>91.275707687451089</v>
      </c>
      <c r="L381" s="78">
        <v>16.50516695653306</v>
      </c>
      <c r="M381" s="78">
        <v>165.37762438852945</v>
      </c>
      <c r="N381" s="78">
        <v>1.1553614548316579E-3</v>
      </c>
      <c r="O381" s="78">
        <v>0.5018380629219924</v>
      </c>
      <c r="P381" s="78">
        <v>0.90925382860866721</v>
      </c>
      <c r="Q381" s="83">
        <v>0.47200197063460925</v>
      </c>
    </row>
    <row r="382" spans="10:17" ht="15" customHeight="1">
      <c r="J382" s="78">
        <v>19.382343766247271</v>
      </c>
      <c r="K382" s="78">
        <v>91.423403815881002</v>
      </c>
      <c r="L382" s="78">
        <v>15.705096026862691</v>
      </c>
      <c r="M382" s="78">
        <v>166.17769531819982</v>
      </c>
      <c r="N382" s="78">
        <v>0</v>
      </c>
      <c r="O382" s="78">
        <v>0.50265010306794389</v>
      </c>
      <c r="P382" s="78">
        <v>0.91365265558813935</v>
      </c>
      <c r="Q382" s="83">
        <v>0.47151195247239852</v>
      </c>
    </row>
    <row r="383" spans="10:17" ht="15" customHeight="1">
      <c r="J383" s="78">
        <v>19.433757350987253</v>
      </c>
      <c r="K383" s="78">
        <v>91.156249998862592</v>
      </c>
      <c r="L383" s="78">
        <v>17.571928196093523</v>
      </c>
      <c r="M383" s="78">
        <v>164.31086314896899</v>
      </c>
      <c r="N383" s="78">
        <v>5.7768072741614968E-4</v>
      </c>
      <c r="O383" s="78">
        <v>0.5011812790244885</v>
      </c>
      <c r="P383" s="78">
        <v>0.90338872596937114</v>
      </c>
      <c r="Q383" s="83">
        <v>0.46888983979980181</v>
      </c>
    </row>
    <row r="384" spans="10:17" ht="15" customHeight="1">
      <c r="J384" s="78">
        <v>19.48517093572724</v>
      </c>
      <c r="K384" s="78">
        <v>91.185420396102813</v>
      </c>
      <c r="L384" s="78">
        <v>16.890386293041047</v>
      </c>
      <c r="M384" s="78">
        <v>164.99240505202147</v>
      </c>
      <c r="N384" s="78">
        <v>1.7330421822471661E-3</v>
      </c>
      <c r="O384" s="78">
        <v>0.50134165921782337</v>
      </c>
      <c r="P384" s="78">
        <v>0.90713587487781011</v>
      </c>
      <c r="Q384" s="83">
        <v>0.46780233238926161</v>
      </c>
    </row>
    <row r="385" spans="10:17" ht="15" customHeight="1">
      <c r="J385" s="78">
        <v>19.536584520467226</v>
      </c>
      <c r="K385" s="78">
        <v>91.362753724329409</v>
      </c>
      <c r="L385" s="78">
        <v>15.4976702302815</v>
      </c>
      <c r="M385" s="78">
        <v>166.38512111478101</v>
      </c>
      <c r="N385" s="78">
        <v>1.7330421822471661E-3</v>
      </c>
      <c r="O385" s="78">
        <v>0.50231664605915771</v>
      </c>
      <c r="P385" s="78">
        <v>0.91479309221244687</v>
      </c>
      <c r="Q385" s="83">
        <v>0.46747893594150591</v>
      </c>
    </row>
    <row r="386" spans="10:17" ht="15" customHeight="1">
      <c r="J386" s="78">
        <v>19.587998105207209</v>
      </c>
      <c r="K386" s="78">
        <v>91.184501620416569</v>
      </c>
      <c r="L386" s="78">
        <v>16.682960496459799</v>
      </c>
      <c r="M386" s="78">
        <v>165.19983084860272</v>
      </c>
      <c r="N386" s="78">
        <v>5.7768072741614968E-4</v>
      </c>
      <c r="O386" s="78">
        <v>0.50133660774660149</v>
      </c>
      <c r="P386" s="78">
        <v>0.90827631150211796</v>
      </c>
      <c r="Q386" s="83">
        <v>0.46534191417676818</v>
      </c>
    </row>
    <row r="387" spans="10:17" ht="15" customHeight="1">
      <c r="J387" s="78">
        <v>19.639411689947199</v>
      </c>
      <c r="K387" s="78">
        <v>91.332205987416856</v>
      </c>
      <c r="L387" s="78">
        <v>16.149579876679553</v>
      </c>
      <c r="M387" s="78">
        <v>165.73321146838296</v>
      </c>
      <c r="N387" s="78">
        <v>0</v>
      </c>
      <c r="O387" s="78">
        <v>0.50214869318859401</v>
      </c>
      <c r="P387" s="78">
        <v>0.91120886282176605</v>
      </c>
      <c r="Q387" s="83">
        <v>0.46487578721827816</v>
      </c>
    </row>
    <row r="388" spans="10:17" ht="15" customHeight="1">
      <c r="J388" s="78">
        <v>19.690825274687185</v>
      </c>
      <c r="K388" s="78">
        <v>91.272486205549995</v>
      </c>
      <c r="L388" s="78">
        <v>16.712592753114279</v>
      </c>
      <c r="M388" s="78">
        <v>165.17019859194824</v>
      </c>
      <c r="N388" s="78">
        <v>5.7768072741614968E-4</v>
      </c>
      <c r="O388" s="78">
        <v>0.50182035106548706</v>
      </c>
      <c r="P388" s="78">
        <v>0.90811339198435959</v>
      </c>
      <c r="Q388" s="83">
        <v>0.4633586893592665</v>
      </c>
    </row>
    <row r="389" spans="10:17" ht="15" customHeight="1">
      <c r="J389" s="78">
        <v>19.742238859427172</v>
      </c>
      <c r="K389" s="78">
        <v>91.331297098015071</v>
      </c>
      <c r="L389" s="78">
        <v>15.793992796826075</v>
      </c>
      <c r="M389" s="78">
        <v>166.08879854823644</v>
      </c>
      <c r="N389" s="78">
        <v>5.7768072741614968E-4</v>
      </c>
      <c r="O389" s="78">
        <v>0.50214369607262133</v>
      </c>
      <c r="P389" s="78">
        <v>0.91316389703486467</v>
      </c>
      <c r="Q389" s="83">
        <v>0.46244988453111974</v>
      </c>
    </row>
    <row r="390" spans="10:17" ht="15" customHeight="1">
      <c r="J390" s="78">
        <v>19.793652444167154</v>
      </c>
      <c r="K390" s="78">
        <v>91.093787071649629</v>
      </c>
      <c r="L390" s="78">
        <v>16.890386293041047</v>
      </c>
      <c r="M390" s="78">
        <v>164.99240505202147</v>
      </c>
      <c r="N390" s="78">
        <v>5.7768072741614968E-4</v>
      </c>
      <c r="O390" s="78">
        <v>0.50083785496138145</v>
      </c>
      <c r="P390" s="78">
        <v>0.90713587487781011</v>
      </c>
      <c r="Q390" s="83">
        <v>0.46004875067788364</v>
      </c>
    </row>
    <row r="391" spans="10:17" ht="15" customHeight="1">
      <c r="J391" s="78">
        <v>19.845066028907141</v>
      </c>
      <c r="K391" s="78">
        <v>91.093336746233931</v>
      </c>
      <c r="L391" s="78">
        <v>17.245973372894525</v>
      </c>
      <c r="M391" s="78">
        <v>164.63681797216799</v>
      </c>
      <c r="N391" s="78">
        <v>1.1553614548316579E-3</v>
      </c>
      <c r="O391" s="78">
        <v>0.50083537905141562</v>
      </c>
      <c r="P391" s="78">
        <v>0.90518084066471149</v>
      </c>
      <c r="Q391" s="83">
        <v>0.45885461063649741</v>
      </c>
    </row>
    <row r="392" spans="10:17" ht="15" customHeight="1">
      <c r="J392" s="78">
        <v>19.896479613647127</v>
      </c>
      <c r="K392" s="78">
        <v>91.092888068532332</v>
      </c>
      <c r="L392" s="78">
        <v>16.860754036386567</v>
      </c>
      <c r="M392" s="78">
        <v>165.02203730867595</v>
      </c>
      <c r="N392" s="78">
        <v>1.1553614548316579E-3</v>
      </c>
      <c r="O392" s="78">
        <v>0.50083291220065818</v>
      </c>
      <c r="P392" s="78">
        <v>0.90729879439556849</v>
      </c>
      <c r="Q392" s="83">
        <v>0.45766665032208875</v>
      </c>
    </row>
    <row r="393" spans="10:17" ht="15" customHeight="1">
      <c r="J393" s="78">
        <v>19.947893198387114</v>
      </c>
      <c r="K393" s="78">
        <v>91.062808781890325</v>
      </c>
      <c r="L393" s="78">
        <v>17.157076602931141</v>
      </c>
      <c r="M393" s="78">
        <v>164.72571474213137</v>
      </c>
      <c r="N393" s="78">
        <v>1.1553614548316579E-3</v>
      </c>
      <c r="O393" s="78">
        <v>0.50066753489135063</v>
      </c>
      <c r="P393" s="78">
        <v>0.90566959921798618</v>
      </c>
      <c r="Q393" s="83">
        <v>0.45633627364976187</v>
      </c>
    </row>
    <row r="394" spans="10:17" ht="15" customHeight="1">
      <c r="J394" s="78">
        <v>19.9993067831271</v>
      </c>
      <c r="K394" s="78">
        <v>91.032731142962405</v>
      </c>
      <c r="L394" s="78">
        <v>16.445902443224128</v>
      </c>
      <c r="M394" s="78">
        <v>165.43688890183839</v>
      </c>
      <c r="N394" s="78">
        <v>1.1553614548316579E-3</v>
      </c>
      <c r="O394" s="78">
        <v>0.50050216664125124</v>
      </c>
      <c r="P394" s="78">
        <v>0.90957966764418374</v>
      </c>
      <c r="Q394" s="83">
        <v>0.4550127453967554</v>
      </c>
    </row>
    <row r="395" spans="10:17" ht="15" customHeight="1">
      <c r="J395" s="78">
        <v>20.050720367867086</v>
      </c>
      <c r="K395" s="78">
        <v>91.032287408403022</v>
      </c>
      <c r="L395" s="78">
        <v>17.601560452748004</v>
      </c>
      <c r="M395" s="78">
        <v>164.28123089231451</v>
      </c>
      <c r="N395" s="78">
        <v>5.7768072741614968E-4</v>
      </c>
      <c r="O395" s="78">
        <v>0.50049972696811829</v>
      </c>
      <c r="P395" s="78">
        <v>0.90322580645161277</v>
      </c>
      <c r="Q395" s="83">
        <v>0.45384379937540792</v>
      </c>
    </row>
    <row r="396" spans="10:17" ht="15" customHeight="1">
      <c r="J396" s="78">
        <v>20.102133952607069</v>
      </c>
      <c r="K396" s="78">
        <v>91.002213064903231</v>
      </c>
      <c r="L396" s="78">
        <v>17.12744434627669</v>
      </c>
      <c r="M396" s="78">
        <v>164.75534699878583</v>
      </c>
      <c r="N396" s="78">
        <v>1.1553614548316579E-3</v>
      </c>
      <c r="O396" s="78">
        <v>0.50033437683643522</v>
      </c>
      <c r="P396" s="78">
        <v>0.90583251873574433</v>
      </c>
      <c r="Q396" s="83">
        <v>0.45253343247356631</v>
      </c>
    </row>
    <row r="397" spans="10:17" ht="15" customHeight="1">
      <c r="J397" s="78">
        <v>20.153547537347055</v>
      </c>
      <c r="K397" s="78">
        <v>90.883243599154156</v>
      </c>
      <c r="L397" s="78">
        <v>17.334870142857852</v>
      </c>
      <c r="M397" s="78">
        <v>164.54792120220466</v>
      </c>
      <c r="N397" s="78">
        <v>5.7768072741614968E-4</v>
      </c>
      <c r="O397" s="78">
        <v>0.49968027721068575</v>
      </c>
      <c r="P397" s="78">
        <v>0.90469208211143703</v>
      </c>
      <c r="Q397" s="83">
        <v>0.45078866210557517</v>
      </c>
    </row>
    <row r="398" spans="10:17" ht="15" customHeight="1">
      <c r="J398" s="78">
        <v>20.204383441359628</v>
      </c>
      <c r="K398" s="78">
        <v>90.853177472170373</v>
      </c>
      <c r="L398" s="78">
        <v>17.423766912821264</v>
      </c>
      <c r="M398" s="78">
        <v>164.45902443224125</v>
      </c>
      <c r="N398" s="78">
        <v>5.7768072741614968E-4</v>
      </c>
      <c r="O398" s="78">
        <v>0.49951497225378777</v>
      </c>
      <c r="P398" s="78">
        <v>0.90420332355816213</v>
      </c>
      <c r="Q398" s="83">
        <v>0.44950563053322501</v>
      </c>
    </row>
    <row r="399" spans="10:17" ht="15" customHeight="1">
      <c r="J399" s="78">
        <v>20.256374706827028</v>
      </c>
      <c r="K399" s="78">
        <v>90.941632177342839</v>
      </c>
      <c r="L399" s="78">
        <v>16.771857266423154</v>
      </c>
      <c r="M399" s="78">
        <v>165.11093407863936</v>
      </c>
      <c r="N399" s="78">
        <v>1.1553614548316579E-3</v>
      </c>
      <c r="O399" s="78">
        <v>0.50000130031439383</v>
      </c>
      <c r="P399" s="78">
        <v>0.90778755294884328</v>
      </c>
      <c r="Q399" s="83">
        <v>0.44878857744454959</v>
      </c>
    </row>
    <row r="400" spans="10:17" ht="15" customHeight="1">
      <c r="J400" s="78">
        <v>20.307788291567014</v>
      </c>
      <c r="K400" s="78">
        <v>90.911564424699392</v>
      </c>
      <c r="L400" s="78">
        <v>16.860754036386567</v>
      </c>
      <c r="M400" s="78">
        <v>165.02203730867595</v>
      </c>
      <c r="N400" s="78">
        <v>0</v>
      </c>
      <c r="O400" s="78">
        <v>0.49983598641954385</v>
      </c>
      <c r="P400" s="78">
        <v>0.90729879439556849</v>
      </c>
      <c r="Q400" s="83">
        <v>0.44750431130750506</v>
      </c>
    </row>
    <row r="401" spans="10:17" ht="15" customHeight="1">
      <c r="J401" s="78">
        <v>20.359201876307001</v>
      </c>
      <c r="K401" s="78">
        <v>90.851866063115537</v>
      </c>
      <c r="L401" s="78">
        <v>17.927515275947002</v>
      </c>
      <c r="M401" s="78">
        <v>163.95527606911551</v>
      </c>
      <c r="N401" s="78">
        <v>1.1553614548316579E-3</v>
      </c>
      <c r="O401" s="78">
        <v>0.49950776206614367</v>
      </c>
      <c r="P401" s="78">
        <v>0.90143369175627253</v>
      </c>
      <c r="Q401" s="83">
        <v>0.44608099239916293</v>
      </c>
    </row>
    <row r="402" spans="10:17" ht="15" customHeight="1">
      <c r="J402" s="78">
        <v>20.410615461046987</v>
      </c>
      <c r="K402" s="78">
        <v>90.76253709259133</v>
      </c>
      <c r="L402" s="78">
        <v>17.779353992674771</v>
      </c>
      <c r="M402" s="78">
        <v>164.10343735238774</v>
      </c>
      <c r="N402" s="78">
        <v>0</v>
      </c>
      <c r="O402" s="78">
        <v>0.4990166272541936</v>
      </c>
      <c r="P402" s="78">
        <v>0.90224828934506329</v>
      </c>
      <c r="Q402" s="83">
        <v>0.44451967152587268</v>
      </c>
    </row>
    <row r="403" spans="10:17" ht="15" customHeight="1">
      <c r="J403" s="78">
        <v>20.462029045786974</v>
      </c>
      <c r="K403" s="78">
        <v>90.732474283090085</v>
      </c>
      <c r="L403" s="78">
        <v>17.986779789255934</v>
      </c>
      <c r="M403" s="78">
        <v>163.89601155580658</v>
      </c>
      <c r="N403" s="78">
        <v>0</v>
      </c>
      <c r="O403" s="78">
        <v>0.49885134053696806</v>
      </c>
      <c r="P403" s="78">
        <v>0.901107852720756</v>
      </c>
      <c r="Q403" s="83">
        <v>0.44325583641485594</v>
      </c>
    </row>
    <row r="404" spans="10:17" ht="15" customHeight="1">
      <c r="J404" s="78">
        <v>20.513442630526956</v>
      </c>
      <c r="K404" s="78">
        <v>90.820942147920746</v>
      </c>
      <c r="L404" s="78">
        <v>17.305237886203429</v>
      </c>
      <c r="M404" s="78">
        <v>164.57755345885909</v>
      </c>
      <c r="N404" s="78">
        <v>5.7768072741614968E-4</v>
      </c>
      <c r="O404" s="78">
        <v>0.49933774094998362</v>
      </c>
      <c r="P404" s="78">
        <v>0.90485500162919508</v>
      </c>
      <c r="Q404" s="83">
        <v>0.44257615600844802</v>
      </c>
    </row>
    <row r="405" spans="10:17" ht="15" customHeight="1">
      <c r="J405" s="78">
        <v>20.564856215266943</v>
      </c>
      <c r="K405" s="78">
        <v>90.672353607229851</v>
      </c>
      <c r="L405" s="78">
        <v>17.986779789255934</v>
      </c>
      <c r="M405" s="78">
        <v>163.89601155580658</v>
      </c>
      <c r="N405" s="78">
        <v>5.7768072741614968E-4</v>
      </c>
      <c r="O405" s="78">
        <v>0.49852079428014173</v>
      </c>
      <c r="P405" s="78">
        <v>0.901107852720756</v>
      </c>
      <c r="Q405" s="83">
        <v>0.44074714828886075</v>
      </c>
    </row>
    <row r="406" spans="10:17" ht="15" customHeight="1">
      <c r="J406" s="78">
        <v>20.616269800006933</v>
      </c>
      <c r="K406" s="78">
        <v>90.612663484216398</v>
      </c>
      <c r="L406" s="78">
        <v>18.105308815873798</v>
      </c>
      <c r="M406" s="78">
        <v>163.77748252918872</v>
      </c>
      <c r="N406" s="78">
        <v>1.1553614548316579E-3</v>
      </c>
      <c r="O406" s="78">
        <v>0.49819261522278269</v>
      </c>
      <c r="P406" s="78">
        <v>0.90045617464972283</v>
      </c>
      <c r="Q406" s="83">
        <v>0.43935846821062496</v>
      </c>
    </row>
    <row r="407" spans="10:17" ht="15" customHeight="1">
      <c r="J407" s="78">
        <v>20.667683384746915</v>
      </c>
      <c r="K407" s="78">
        <v>90.493710495608084</v>
      </c>
      <c r="L407" s="78">
        <v>18.342366869109441</v>
      </c>
      <c r="M407" s="78">
        <v>163.54042447595307</v>
      </c>
      <c r="N407" s="78">
        <v>1.1553614548316579E-3</v>
      </c>
      <c r="O407" s="78">
        <v>0.49753860618911527</v>
      </c>
      <c r="P407" s="78">
        <v>0.89915281850765716</v>
      </c>
      <c r="Q407" s="83">
        <v>0.43768995548689815</v>
      </c>
    </row>
    <row r="408" spans="10:17" ht="15" customHeight="1">
      <c r="J408" s="78">
        <v>20.719096969486902</v>
      </c>
      <c r="K408" s="78">
        <v>90.463655924677226</v>
      </c>
      <c r="L408" s="78">
        <v>18.609057178999564</v>
      </c>
      <c r="M408" s="78">
        <v>163.27373416606295</v>
      </c>
      <c r="N408" s="78">
        <v>5.7768072741614968E-4</v>
      </c>
      <c r="O408" s="78">
        <v>0.49737336476793081</v>
      </c>
      <c r="P408" s="78">
        <v>0.89768654284783311</v>
      </c>
      <c r="Q408" s="83">
        <v>0.43645878857132658</v>
      </c>
    </row>
    <row r="409" spans="10:17" ht="15" customHeight="1">
      <c r="J409" s="78">
        <v>20.770510554226888</v>
      </c>
      <c r="K409" s="78">
        <v>90.55213202807829</v>
      </c>
      <c r="L409" s="78">
        <v>18.609057178999564</v>
      </c>
      <c r="M409" s="78">
        <v>163.27373416606295</v>
      </c>
      <c r="N409" s="78">
        <v>5.7768072741614968E-4</v>
      </c>
      <c r="O409" s="78">
        <v>0.49785981047698752</v>
      </c>
      <c r="P409" s="78">
        <v>0.89768654284783311</v>
      </c>
      <c r="Q409" s="83">
        <v>0.43580438479361822</v>
      </c>
    </row>
    <row r="410" spans="10:17" ht="15" customHeight="1">
      <c r="J410" s="78">
        <v>20.821924138966871</v>
      </c>
      <c r="K410" s="78">
        <v>90.522080752575604</v>
      </c>
      <c r="L410" s="78">
        <v>18.668321692308496</v>
      </c>
      <c r="M410" s="78">
        <v>163.21446965275402</v>
      </c>
      <c r="N410" s="78">
        <v>5.7768072741614968E-4</v>
      </c>
      <c r="O410" s="78">
        <v>0.49769458717421955</v>
      </c>
      <c r="P410" s="78">
        <v>0.89736070381231658</v>
      </c>
      <c r="Q410" s="83">
        <v>0.43458396956934237</v>
      </c>
    </row>
    <row r="411" spans="10:17" ht="15" customHeight="1">
      <c r="J411" s="78">
        <v>20.873337723706857</v>
      </c>
      <c r="K411" s="78">
        <v>90.432766611478073</v>
      </c>
      <c r="L411" s="78">
        <v>18.579424922345083</v>
      </c>
      <c r="M411" s="78">
        <v>163.30336642271743</v>
      </c>
      <c r="N411" s="78">
        <v>5.7768072741614968E-4</v>
      </c>
      <c r="O411" s="78">
        <v>0.49720353389514332</v>
      </c>
      <c r="P411" s="78">
        <v>0.89784946236559149</v>
      </c>
      <c r="Q411" s="83">
        <v>0.43308564983390657</v>
      </c>
    </row>
    <row r="412" spans="10:17" ht="15" customHeight="1">
      <c r="J412" s="78">
        <v>20.924751308446847</v>
      </c>
      <c r="K412" s="78">
        <v>90.343454118094627</v>
      </c>
      <c r="L412" s="78">
        <v>18.846115232235206</v>
      </c>
      <c r="M412" s="78">
        <v>163.03667611282731</v>
      </c>
      <c r="N412" s="78">
        <v>5.7768072741614968E-4</v>
      </c>
      <c r="O412" s="78">
        <v>0.49671248967527537</v>
      </c>
      <c r="P412" s="78">
        <v>0.89638318670576744</v>
      </c>
      <c r="Q412" s="83">
        <v>0.43159470092675473</v>
      </c>
    </row>
    <row r="413" spans="10:17" ht="15" customHeight="1">
      <c r="J413" s="78">
        <v>20.976164893186834</v>
      </c>
      <c r="K413" s="78">
        <v>90.40230455569754</v>
      </c>
      <c r="L413" s="78">
        <v>18.609057178999564</v>
      </c>
      <c r="M413" s="78">
        <v>163.27373416606295</v>
      </c>
      <c r="N413" s="78">
        <v>5.7768072741614968E-4</v>
      </c>
      <c r="O413" s="78">
        <v>0.49703605210340668</v>
      </c>
      <c r="P413" s="78">
        <v>0.89768654284783311</v>
      </c>
      <c r="Q413" s="83">
        <v>0.43081740025944204</v>
      </c>
    </row>
    <row r="414" spans="10:17" ht="15" customHeight="1">
      <c r="J414" s="78">
        <v>21.027578477926816</v>
      </c>
      <c r="K414" s="78">
        <v>90.31299535774221</v>
      </c>
      <c r="L414" s="78">
        <v>19.349863595361029</v>
      </c>
      <c r="M414" s="78">
        <v>162.53292774970149</v>
      </c>
      <c r="N414" s="78">
        <v>5.7768072741614968E-4</v>
      </c>
      <c r="O414" s="78">
        <v>0.49654502600195494</v>
      </c>
      <c r="P414" s="78">
        <v>0.89361355490387728</v>
      </c>
      <c r="Q414" s="83">
        <v>0.42933930392305891</v>
      </c>
    </row>
    <row r="415" spans="10:17" ht="15" customHeight="1">
      <c r="J415" s="78">
        <v>21.078992062666803</v>
      </c>
      <c r="K415" s="78">
        <v>90.282952320809926</v>
      </c>
      <c r="L415" s="78">
        <v>19.023908772161974</v>
      </c>
      <c r="M415" s="78">
        <v>162.85888257290054</v>
      </c>
      <c r="N415" s="78">
        <v>0</v>
      </c>
      <c r="O415" s="78">
        <v>0.49637984799522811</v>
      </c>
      <c r="P415" s="78">
        <v>0.89540566959921797</v>
      </c>
      <c r="Q415" s="83">
        <v>0.4281495802254966</v>
      </c>
    </row>
    <row r="416" spans="10:17" ht="15" customHeight="1">
      <c r="J416" s="78">
        <v>21.130405647406789</v>
      </c>
      <c r="K416" s="78">
        <v>90.193646418282754</v>
      </c>
      <c r="L416" s="78">
        <v>18.638689435654015</v>
      </c>
      <c r="M416" s="78">
        <v>163.2441019094085</v>
      </c>
      <c r="N416" s="78">
        <v>0</v>
      </c>
      <c r="O416" s="78">
        <v>0.4958888400121928</v>
      </c>
      <c r="P416" s="78">
        <v>0.89752362333007496</v>
      </c>
      <c r="Q416" s="83">
        <v>0.42668518358809326</v>
      </c>
    </row>
    <row r="417" spans="10:17" ht="15" customHeight="1">
      <c r="J417" s="78">
        <v>21.181819232146772</v>
      </c>
      <c r="K417" s="78">
        <v>90.104342163469695</v>
      </c>
      <c r="L417" s="78">
        <v>19.290599082052125</v>
      </c>
      <c r="M417" s="78">
        <v>162.59219226301039</v>
      </c>
      <c r="N417" s="78">
        <v>1.1553614548316579E-3</v>
      </c>
      <c r="O417" s="78">
        <v>0.49539784108836593</v>
      </c>
      <c r="P417" s="78">
        <v>0.8939393939393937</v>
      </c>
      <c r="Q417" s="83">
        <v>0.42522790364501079</v>
      </c>
    </row>
    <row r="418" spans="10:17" ht="15" customHeight="1">
      <c r="J418" s="78">
        <v>21.233232816886762</v>
      </c>
      <c r="K418" s="78">
        <v>90.133568582988531</v>
      </c>
      <c r="L418" s="78">
        <v>19.5869216485967</v>
      </c>
      <c r="M418" s="78">
        <v>162.29586969646581</v>
      </c>
      <c r="N418" s="78">
        <v>5.7768072741614968E-4</v>
      </c>
      <c r="O418" s="78">
        <v>0.49555852929478006</v>
      </c>
      <c r="P418" s="78">
        <v>0.8923101987618115</v>
      </c>
      <c r="Q418" s="83">
        <v>0.42433591281773947</v>
      </c>
    </row>
    <row r="419" spans="10:17" ht="15" customHeight="1">
      <c r="J419" s="78">
        <v>21.284646401626748</v>
      </c>
      <c r="K419" s="78">
        <v>90.044267623603616</v>
      </c>
      <c r="L419" s="78">
        <v>19.379495852015481</v>
      </c>
      <c r="M419" s="78">
        <v>162.50329549304703</v>
      </c>
      <c r="N419" s="78">
        <v>5.7768072741614968E-4</v>
      </c>
      <c r="O419" s="78">
        <v>0.49506754848936951</v>
      </c>
      <c r="P419" s="78">
        <v>0.89345063538611913</v>
      </c>
      <c r="Q419" s="83">
        <v>0.42289136326919657</v>
      </c>
    </row>
    <row r="420" spans="10:17" ht="15" customHeight="1">
      <c r="J420" s="78">
        <v>21.336059986366735</v>
      </c>
      <c r="K420" s="78">
        <v>89.86607154196939</v>
      </c>
      <c r="L420" s="78">
        <v>19.735082931868959</v>
      </c>
      <c r="M420" s="78">
        <v>162.14770841319356</v>
      </c>
      <c r="N420" s="78">
        <v>5.7768072741614968E-4</v>
      </c>
      <c r="O420" s="78">
        <v>0.49408781818989245</v>
      </c>
      <c r="P420" s="78">
        <v>0.89149560117302051</v>
      </c>
      <c r="Q420" s="83">
        <v>0.42103713296004153</v>
      </c>
    </row>
    <row r="421" spans="10:17" ht="15" customHeight="1">
      <c r="J421" s="78">
        <v>21.387473571106717</v>
      </c>
      <c r="K421" s="78">
        <v>89.836038391321551</v>
      </c>
      <c r="L421" s="78">
        <v>19.023908772161974</v>
      </c>
      <c r="M421" s="78">
        <v>162.85888257290054</v>
      </c>
      <c r="N421" s="78">
        <v>5.7768072741614968E-4</v>
      </c>
      <c r="O421" s="78">
        <v>0.49392269453841481</v>
      </c>
      <c r="P421" s="78">
        <v>0.89540566959921797</v>
      </c>
      <c r="Q421" s="83">
        <v>0.41988457310780136</v>
      </c>
    </row>
    <row r="422" spans="10:17" ht="15" customHeight="1">
      <c r="J422" s="78">
        <v>21.438887155846707</v>
      </c>
      <c r="K422" s="78">
        <v>89.80600688838777</v>
      </c>
      <c r="L422" s="78">
        <v>19.112805542125386</v>
      </c>
      <c r="M422" s="78">
        <v>162.76998580293713</v>
      </c>
      <c r="N422" s="78">
        <v>5.7768072741614968E-4</v>
      </c>
      <c r="O422" s="78">
        <v>0.49375757994614533</v>
      </c>
      <c r="P422" s="78">
        <v>0.89491691104594306</v>
      </c>
      <c r="Q422" s="83">
        <v>0.41873754895514315</v>
      </c>
    </row>
    <row r="423" spans="10:17" ht="15" customHeight="1">
      <c r="J423" s="78">
        <v>21.49030074058669</v>
      </c>
      <c r="K423" s="78">
        <v>89.627815749895774</v>
      </c>
      <c r="L423" s="78">
        <v>19.853611958486795</v>
      </c>
      <c r="M423" s="78">
        <v>162.02917938657572</v>
      </c>
      <c r="N423" s="78">
        <v>5.7768072741614968E-4</v>
      </c>
      <c r="O423" s="78">
        <v>0.49277787682429286</v>
      </c>
      <c r="P423" s="78">
        <v>0.89084392310198757</v>
      </c>
      <c r="Q423" s="83">
        <v>0.41690658750042958</v>
      </c>
    </row>
    <row r="424" spans="10:17" ht="15" customHeight="1">
      <c r="J424" s="78">
        <v>21.541714325326673</v>
      </c>
      <c r="K424" s="78">
        <v>89.538523029081247</v>
      </c>
      <c r="L424" s="78">
        <v>19.675818418560056</v>
      </c>
      <c r="M424" s="78">
        <v>162.20697292650246</v>
      </c>
      <c r="N424" s="78">
        <v>0</v>
      </c>
      <c r="O424" s="78">
        <v>0.4922869413149234</v>
      </c>
      <c r="P424" s="78">
        <v>0.89182144020853693</v>
      </c>
      <c r="Q424" s="83">
        <v>0.41549704628249301</v>
      </c>
    </row>
    <row r="425" spans="10:17" ht="15" customHeight="1">
      <c r="J425" s="78">
        <v>21.593127910066663</v>
      </c>
      <c r="K425" s="78">
        <v>89.538128725944162</v>
      </c>
      <c r="L425" s="78">
        <v>19.823979701832315</v>
      </c>
      <c r="M425" s="78">
        <v>162.0588116432302</v>
      </c>
      <c r="N425" s="78">
        <v>-5.7768072741550837E-4</v>
      </c>
      <c r="O425" s="78">
        <v>0.49228477341803678</v>
      </c>
      <c r="P425" s="78">
        <v>0.89100684261974594</v>
      </c>
      <c r="Q425" s="83">
        <v>0.41450591507625439</v>
      </c>
    </row>
    <row r="426" spans="10:17" ht="15" customHeight="1">
      <c r="J426" s="78">
        <v>21.644541494806649</v>
      </c>
      <c r="K426" s="78">
        <v>89.656265097138984</v>
      </c>
      <c r="L426" s="78">
        <v>19.853611958486795</v>
      </c>
      <c r="M426" s="78">
        <v>162.02917938657572</v>
      </c>
      <c r="N426" s="78">
        <v>5.7768072741614968E-4</v>
      </c>
      <c r="O426" s="78">
        <v>0.49293429265139127</v>
      </c>
      <c r="P426" s="78">
        <v>0.89084392310198757</v>
      </c>
      <c r="Q426" s="83">
        <v>0.41406711632079007</v>
      </c>
    </row>
    <row r="427" spans="10:17" ht="15" customHeight="1">
      <c r="J427" s="78">
        <v>21.695955079546632</v>
      </c>
      <c r="K427" s="78">
        <v>89.715138602738975</v>
      </c>
      <c r="L427" s="78">
        <v>18.905379745544138</v>
      </c>
      <c r="M427" s="78">
        <v>162.97741159951838</v>
      </c>
      <c r="N427" s="78">
        <v>1.1553614548316579E-3</v>
      </c>
      <c r="O427" s="78">
        <v>0.49325798190843761</v>
      </c>
      <c r="P427" s="78">
        <v>0.89605734767025091</v>
      </c>
      <c r="Q427" s="83">
        <v>0.41335724555656084</v>
      </c>
    </row>
    <row r="428" spans="10:17" ht="15" customHeight="1">
      <c r="J428" s="78">
        <v>21.747368664286622</v>
      </c>
      <c r="K428" s="78">
        <v>89.625852472780721</v>
      </c>
      <c r="L428" s="78">
        <v>19.320231338706549</v>
      </c>
      <c r="M428" s="78">
        <v>162.56256000635597</v>
      </c>
      <c r="N428" s="78">
        <v>1.1553614548316579E-3</v>
      </c>
      <c r="O428" s="78">
        <v>0.4927670826359008</v>
      </c>
      <c r="P428" s="78">
        <v>0.89377647442163566</v>
      </c>
      <c r="Q428" s="83">
        <v>0.41196945509629707</v>
      </c>
    </row>
    <row r="429" spans="10:17" ht="15" customHeight="1">
      <c r="J429" s="78">
        <v>21.798782249026605</v>
      </c>
      <c r="K429" s="78">
        <v>89.536567990536597</v>
      </c>
      <c r="L429" s="78">
        <v>19.97214098510463</v>
      </c>
      <c r="M429" s="78">
        <v>161.91065035995788</v>
      </c>
      <c r="N429" s="78">
        <v>1.1553614548316579E-3</v>
      </c>
      <c r="O429" s="78">
        <v>0.49227619242257248</v>
      </c>
      <c r="P429" s="78">
        <v>0.89019224503095462</v>
      </c>
      <c r="Q429" s="83">
        <v>0.41058821854967142</v>
      </c>
    </row>
    <row r="430" spans="10:17" ht="15" customHeight="1">
      <c r="J430" s="78">
        <v>21.850195833766591</v>
      </c>
      <c r="K430" s="78">
        <v>89.506549669315461</v>
      </c>
      <c r="L430" s="78">
        <v>20.120302268376889</v>
      </c>
      <c r="M430" s="78">
        <v>161.76248907668563</v>
      </c>
      <c r="N430" s="78">
        <v>5.7768072741614968E-4</v>
      </c>
      <c r="O430" s="78">
        <v>0.49211115030396885</v>
      </c>
      <c r="P430" s="78">
        <v>0.88937764744216363</v>
      </c>
      <c r="Q430" s="83">
        <v>0.40948472069211467</v>
      </c>
    </row>
    <row r="431" spans="10:17" ht="15" customHeight="1">
      <c r="J431" s="78">
        <v>21.901609418506577</v>
      </c>
      <c r="K431" s="78">
        <v>89.565429765771711</v>
      </c>
      <c r="L431" s="78">
        <v>20.061037755068014</v>
      </c>
      <c r="M431" s="78">
        <v>161.8217535899945</v>
      </c>
      <c r="N431" s="78">
        <v>1.1553614548316579E-3</v>
      </c>
      <c r="O431" s="78">
        <v>0.49243487579784773</v>
      </c>
      <c r="P431" s="78">
        <v>0.88970348647767994</v>
      </c>
      <c r="Q431" s="83">
        <v>0.40879230273087597</v>
      </c>
    </row>
    <row r="432" spans="10:17" ht="15" customHeight="1">
      <c r="J432" s="78">
        <v>21.953023003246564</v>
      </c>
      <c r="K432" s="78">
        <v>89.44651797001535</v>
      </c>
      <c r="L432" s="78">
        <v>20.475889348230425</v>
      </c>
      <c r="M432" s="78">
        <v>161.40690199683209</v>
      </c>
      <c r="N432" s="78">
        <v>5.7768072741614968E-4</v>
      </c>
      <c r="O432" s="78">
        <v>0.49178109324438579</v>
      </c>
      <c r="P432" s="78">
        <v>0.88742261322906468</v>
      </c>
      <c r="Q432" s="83">
        <v>0.40729325372663283</v>
      </c>
    </row>
    <row r="433" spans="10:17" ht="15" customHeight="1">
      <c r="J433" s="78">
        <v>22.00443658798655</v>
      </c>
      <c r="K433" s="78">
        <v>89.446136848590868</v>
      </c>
      <c r="L433" s="78">
        <v>20.653682888157164</v>
      </c>
      <c r="M433" s="78">
        <v>161.22910845690535</v>
      </c>
      <c r="N433" s="78">
        <v>1.1553614548316579E-3</v>
      </c>
      <c r="O433" s="78">
        <v>0.4917789978211648</v>
      </c>
      <c r="P433" s="78">
        <v>0.88644509612251543</v>
      </c>
      <c r="Q433" s="83">
        <v>0.40633987697131063</v>
      </c>
    </row>
    <row r="434" spans="10:17" ht="15" customHeight="1">
      <c r="J434" s="78">
        <v>22.055850172726537</v>
      </c>
      <c r="K434" s="78">
        <v>89.505021888189418</v>
      </c>
      <c r="L434" s="78">
        <v>20.653682888157164</v>
      </c>
      <c r="M434" s="78">
        <v>161.22910845690535</v>
      </c>
      <c r="N434" s="78">
        <v>0</v>
      </c>
      <c r="O434" s="78">
        <v>0.49210275049266866</v>
      </c>
      <c r="P434" s="78">
        <v>0.88644509612251543</v>
      </c>
      <c r="Q434" s="83">
        <v>0.40565965446251806</v>
      </c>
    </row>
    <row r="435" spans="10:17" ht="15" customHeight="1">
      <c r="J435" s="78">
        <v>22.107263757466523</v>
      </c>
      <c r="K435" s="78">
        <v>89.504644062193094</v>
      </c>
      <c r="L435" s="78">
        <v>20.268463551649205</v>
      </c>
      <c r="M435" s="78">
        <v>161.61432779341331</v>
      </c>
      <c r="N435" s="78">
        <v>5.7768072741614968E-4</v>
      </c>
      <c r="O435" s="78">
        <v>0.49210067318786416</v>
      </c>
      <c r="P435" s="78">
        <v>0.88856304985337242</v>
      </c>
      <c r="Q435" s="83">
        <v>0.40471452620742682</v>
      </c>
    </row>
    <row r="436" spans="10:17" ht="15" customHeight="1">
      <c r="J436" s="78">
        <v>22.158677342206506</v>
      </c>
      <c r="K436" s="78">
        <v>89.474635627256376</v>
      </c>
      <c r="L436" s="78">
        <v>20.416624834921492</v>
      </c>
      <c r="M436" s="78">
        <v>161.46616651014102</v>
      </c>
      <c r="N436" s="78">
        <v>5.7768072741614968E-4</v>
      </c>
      <c r="O436" s="78">
        <v>0.49193568542450949</v>
      </c>
      <c r="P436" s="78">
        <v>0.88774845226458121</v>
      </c>
      <c r="Q436" s="83">
        <v>0.40364006369711314</v>
      </c>
    </row>
    <row r="437" spans="10:17" ht="15" customHeight="1">
      <c r="J437" s="78">
        <v>22.210090926946492</v>
      </c>
      <c r="K437" s="78">
        <v>89.444628840033758</v>
      </c>
      <c r="L437" s="78">
        <v>20.505521604884848</v>
      </c>
      <c r="M437" s="78">
        <v>161.37726974017767</v>
      </c>
      <c r="N437" s="78">
        <v>5.7768072741614968E-4</v>
      </c>
      <c r="O437" s="78">
        <v>0.49177070672036322</v>
      </c>
      <c r="P437" s="78">
        <v>0.88725969371130664</v>
      </c>
      <c r="Q437" s="83">
        <v>0.40257058309841875</v>
      </c>
    </row>
    <row r="438" spans="10:17" ht="15" customHeight="1">
      <c r="J438" s="78">
        <v>22.261504511686478</v>
      </c>
      <c r="K438" s="78">
        <v>89.50352047048861</v>
      </c>
      <c r="L438" s="78">
        <v>19.468392621978865</v>
      </c>
      <c r="M438" s="78">
        <v>162.41439872308365</v>
      </c>
      <c r="N438" s="78">
        <v>1.1553614548316579E-3</v>
      </c>
      <c r="O438" s="78">
        <v>0.49209449562869995</v>
      </c>
      <c r="P438" s="78">
        <v>0.89296187683284445</v>
      </c>
      <c r="Q438" s="83">
        <v>0.40190537946248767</v>
      </c>
    </row>
    <row r="439" spans="10:17" ht="15" customHeight="1">
      <c r="J439" s="78">
        <v>22.312918096426465</v>
      </c>
      <c r="K439" s="78">
        <v>89.503149235348602</v>
      </c>
      <c r="L439" s="78">
        <v>19.823979701832315</v>
      </c>
      <c r="M439" s="78">
        <v>162.0588116432302</v>
      </c>
      <c r="N439" s="78">
        <v>0</v>
      </c>
      <c r="O439" s="78">
        <v>0.49209245456072831</v>
      </c>
      <c r="P439" s="78">
        <v>0.89100684261974594</v>
      </c>
      <c r="Q439" s="83">
        <v>0.40097764245789719</v>
      </c>
    </row>
    <row r="440" spans="10:17" ht="15" customHeight="1">
      <c r="J440" s="78">
        <v>22.364331681166451</v>
      </c>
      <c r="K440" s="78">
        <v>89.354618364650378</v>
      </c>
      <c r="L440" s="78">
        <v>20.861108684738383</v>
      </c>
      <c r="M440" s="78">
        <v>161.02168266032413</v>
      </c>
      <c r="N440" s="78">
        <v>0</v>
      </c>
      <c r="O440" s="78">
        <v>0.49127582496317374</v>
      </c>
      <c r="P440" s="78">
        <v>0.88530465949820769</v>
      </c>
      <c r="Q440" s="83">
        <v>0.39939168918306528</v>
      </c>
    </row>
    <row r="441" spans="10:17" ht="15" customHeight="1">
      <c r="J441" s="78">
        <v>22.415745265906438</v>
      </c>
      <c r="K441" s="78">
        <v>89.354250424938513</v>
      </c>
      <c r="L441" s="78">
        <v>20.268463551649205</v>
      </c>
      <c r="M441" s="78">
        <v>161.61432779341331</v>
      </c>
      <c r="N441" s="78">
        <v>5.7768072741614968E-4</v>
      </c>
      <c r="O441" s="78">
        <v>0.49127380201361842</v>
      </c>
      <c r="P441" s="78">
        <v>0.88856304985337242</v>
      </c>
      <c r="Q441" s="83">
        <v>0.39847398815713803</v>
      </c>
    </row>
    <row r="442" spans="10:17" ht="15" customHeight="1">
      <c r="J442" s="78">
        <v>22.46715885064642</v>
      </c>
      <c r="K442" s="78">
        <v>89.294619619631817</v>
      </c>
      <c r="L442" s="78">
        <v>20.950005454701738</v>
      </c>
      <c r="M442" s="78">
        <v>160.93278589036078</v>
      </c>
      <c r="N442" s="78">
        <v>5.7768072741614968E-4</v>
      </c>
      <c r="O442" s="78">
        <v>0.49094594908775496</v>
      </c>
      <c r="P442" s="78">
        <v>0.88481590094493312</v>
      </c>
      <c r="Q442" s="83">
        <v>0.39729671172163961</v>
      </c>
    </row>
    <row r="443" spans="10:17" ht="15" customHeight="1">
      <c r="J443" s="78">
        <v>22.518572435386407</v>
      </c>
      <c r="K443" s="78">
        <v>89.353519488657042</v>
      </c>
      <c r="L443" s="78">
        <v>20.831476428083903</v>
      </c>
      <c r="M443" s="78">
        <v>161.05131491697861</v>
      </c>
      <c r="N443" s="78">
        <v>5.7768072741614968E-4</v>
      </c>
      <c r="O443" s="78">
        <v>0.49126978329213267</v>
      </c>
      <c r="P443" s="78">
        <v>0.88546757901596607</v>
      </c>
      <c r="Q443" s="83">
        <v>0.3966511796261124</v>
      </c>
    </row>
    <row r="444" spans="10:17" ht="15" customHeight="1">
      <c r="J444" s="78">
        <v>22.569986020126397</v>
      </c>
      <c r="K444" s="78">
        <v>89.323524235432942</v>
      </c>
      <c r="L444" s="78">
        <v>20.653682888157164</v>
      </c>
      <c r="M444" s="78">
        <v>161.22910845690535</v>
      </c>
      <c r="N444" s="78">
        <v>1.1553614548316579E-3</v>
      </c>
      <c r="O444" s="78">
        <v>0.49110486800244374</v>
      </c>
      <c r="P444" s="78">
        <v>0.88644509612251543</v>
      </c>
      <c r="Q444" s="83">
        <v>0.39561472420529498</v>
      </c>
    </row>
    <row r="445" spans="10:17" ht="15" customHeight="1">
      <c r="J445" s="78">
        <v>22.621399604866379</v>
      </c>
      <c r="K445" s="78">
        <v>89.086104833341736</v>
      </c>
      <c r="L445" s="78">
        <v>20.475889348230425</v>
      </c>
      <c r="M445" s="78">
        <v>161.40690199683209</v>
      </c>
      <c r="N445" s="78">
        <v>0</v>
      </c>
      <c r="O445" s="78">
        <v>0.48979952514765557</v>
      </c>
      <c r="P445" s="78">
        <v>0.88742261322906468</v>
      </c>
      <c r="Q445" s="83">
        <v>0.39366604233209423</v>
      </c>
    </row>
    <row r="446" spans="10:17" ht="15" customHeight="1">
      <c r="J446" s="78">
        <v>22.672813189606366</v>
      </c>
      <c r="K446" s="78">
        <v>88.967216105582423</v>
      </c>
      <c r="L446" s="78">
        <v>20.59441837484826</v>
      </c>
      <c r="M446" s="78">
        <v>161.28837297021425</v>
      </c>
      <c r="N446" s="78">
        <v>0</v>
      </c>
      <c r="O446" s="78">
        <v>0.48914586942310845</v>
      </c>
      <c r="P446" s="78">
        <v>0.88677093515803174</v>
      </c>
      <c r="Q446" s="83">
        <v>0.39224898592475982</v>
      </c>
    </row>
    <row r="447" spans="10:17" ht="15" customHeight="1">
      <c r="J447" s="78">
        <v>22.724226774346352</v>
      </c>
      <c r="K447" s="78">
        <v>88.907593538846143</v>
      </c>
      <c r="L447" s="78">
        <v>20.831476428083903</v>
      </c>
      <c r="M447" s="78">
        <v>161.05131491697861</v>
      </c>
      <c r="N447" s="78">
        <v>1.1553614548316579E-3</v>
      </c>
      <c r="O447" s="78">
        <v>0.48881806179328618</v>
      </c>
      <c r="P447" s="78">
        <v>0.88546757901596607</v>
      </c>
      <c r="Q447" s="83">
        <v>0.39109914776260318</v>
      </c>
    </row>
    <row r="448" spans="10:17" ht="15" customHeight="1">
      <c r="J448" s="78">
        <v>22.775640359086339</v>
      </c>
      <c r="K448" s="78">
        <v>88.90723713313281</v>
      </c>
      <c r="L448" s="78">
        <v>20.950005454701738</v>
      </c>
      <c r="M448" s="78">
        <v>160.93278589036078</v>
      </c>
      <c r="N448" s="78">
        <v>5.7768072741614968E-4</v>
      </c>
      <c r="O448" s="78">
        <v>0.48881610225818833</v>
      </c>
      <c r="P448" s="78">
        <v>0.88481590094493312</v>
      </c>
      <c r="Q448" s="83">
        <v>0.39021471819535614</v>
      </c>
    </row>
    <row r="449" spans="10:17" ht="15" customHeight="1">
      <c r="J449" s="78">
        <v>22.827053943826321</v>
      </c>
      <c r="K449" s="78">
        <v>88.906882375133563</v>
      </c>
      <c r="L449" s="78">
        <v>21.098166737974026</v>
      </c>
      <c r="M449" s="78">
        <v>160.78462460708849</v>
      </c>
      <c r="N449" s="78">
        <v>1.1553614548316579E-3</v>
      </c>
      <c r="O449" s="78">
        <v>0.48881415178229876</v>
      </c>
      <c r="P449" s="78">
        <v>0.88400130335614202</v>
      </c>
      <c r="Q449" s="83">
        <v>0.38933427986415015</v>
      </c>
    </row>
    <row r="450" spans="10:17" ht="15" customHeight="1">
      <c r="J450" s="78">
        <v>22.878467528566311</v>
      </c>
      <c r="K450" s="78">
        <v>88.876897008193922</v>
      </c>
      <c r="L450" s="78">
        <v>21.18706350793741</v>
      </c>
      <c r="M450" s="78">
        <v>160.6957278371251</v>
      </c>
      <c r="N450" s="78">
        <v>5.7768072741614968E-4</v>
      </c>
      <c r="O450" s="78">
        <v>0.48864929084785907</v>
      </c>
      <c r="P450" s="78">
        <v>0.88351254480286723</v>
      </c>
      <c r="Q450" s="83">
        <v>0.38832828557475096</v>
      </c>
    </row>
    <row r="451" spans="10:17" ht="15" customHeight="1">
      <c r="J451" s="78">
        <v>22.929881113306294</v>
      </c>
      <c r="K451" s="78">
        <v>88.995074572240682</v>
      </c>
      <c r="L451" s="78">
        <v>20.624050631502683</v>
      </c>
      <c r="M451" s="78">
        <v>161.25874071355983</v>
      </c>
      <c r="N451" s="78">
        <v>1.1553614548316579E-3</v>
      </c>
      <c r="O451" s="78">
        <v>0.48929903656141899</v>
      </c>
      <c r="P451" s="78">
        <v>0.88660801564027369</v>
      </c>
      <c r="Q451" s="83">
        <v>0.38797295914403845</v>
      </c>
    </row>
    <row r="452" spans="10:17" ht="15" customHeight="1">
      <c r="J452" s="78">
        <v>22.98129469804628</v>
      </c>
      <c r="K452" s="78">
        <v>88.935460244074761</v>
      </c>
      <c r="L452" s="78">
        <v>20.831476428083903</v>
      </c>
      <c r="M452" s="78">
        <v>161.05131491697861</v>
      </c>
      <c r="N452" s="78">
        <v>5.7768072741614968E-4</v>
      </c>
      <c r="O452" s="78">
        <v>0.48897127422763764</v>
      </c>
      <c r="P452" s="78">
        <v>0.88546757901596607</v>
      </c>
      <c r="Q452" s="83">
        <v>0.38684558517452183</v>
      </c>
    </row>
    <row r="453" spans="10:17" ht="15" customHeight="1">
      <c r="J453" s="78">
        <v>23.032708282786267</v>
      </c>
      <c r="K453" s="78">
        <v>88.816583050313994</v>
      </c>
      <c r="L453" s="78">
        <v>21.720444127717627</v>
      </c>
      <c r="M453" s="78">
        <v>160.16234721734489</v>
      </c>
      <c r="N453" s="78">
        <v>1.7330421822471661E-3</v>
      </c>
      <c r="O453" s="78">
        <v>0.48831768191754804</v>
      </c>
      <c r="P453" s="78">
        <v>0.88057999348321936</v>
      </c>
      <c r="Q453" s="83">
        <v>0.38546594552205049</v>
      </c>
    </row>
    <row r="454" spans="10:17" ht="15" customHeight="1">
      <c r="J454" s="78">
        <v>23.084121867526257</v>
      </c>
      <c r="K454" s="78">
        <v>88.934765557502971</v>
      </c>
      <c r="L454" s="78">
        <v>21.157431251282958</v>
      </c>
      <c r="M454" s="78">
        <v>160.72536009377956</v>
      </c>
      <c r="N454" s="78">
        <v>0</v>
      </c>
      <c r="O454" s="78">
        <v>0.48896745480873244</v>
      </c>
      <c r="P454" s="78">
        <v>0.88367546432062549</v>
      </c>
      <c r="Q454" s="83">
        <v>0.38511938976474297</v>
      </c>
    </row>
    <row r="455" spans="10:17" ht="15" customHeight="1">
      <c r="J455" s="78">
        <v>23.13553545226624</v>
      </c>
      <c r="K455" s="78">
        <v>88.845523915824813</v>
      </c>
      <c r="L455" s="78">
        <v>21.424121561173052</v>
      </c>
      <c r="M455" s="78">
        <v>160.45866978388946</v>
      </c>
      <c r="N455" s="78">
        <v>1.1553614548316579E-3</v>
      </c>
      <c r="O455" s="78">
        <v>0.48847680013481748</v>
      </c>
      <c r="P455" s="78">
        <v>0.88220918866080156</v>
      </c>
      <c r="Q455" s="83">
        <v>0.38387781346287775</v>
      </c>
    </row>
    <row r="456" spans="10:17" ht="15" customHeight="1">
      <c r="J456" s="78">
        <v>23.186949037006226</v>
      </c>
      <c r="K456" s="78">
        <v>88.756283921860742</v>
      </c>
      <c r="L456" s="78">
        <v>21.305592534555217</v>
      </c>
      <c r="M456" s="78">
        <v>160.5771988105073</v>
      </c>
      <c r="N456" s="78">
        <v>5.7768072741614968E-4</v>
      </c>
      <c r="O456" s="78">
        <v>0.48798615452011079</v>
      </c>
      <c r="P456" s="78">
        <v>0.8828608667318345</v>
      </c>
      <c r="Q456" s="83">
        <v>0.38264175028600445</v>
      </c>
    </row>
    <row r="457" spans="10:17" ht="15" customHeight="1">
      <c r="J457" s="78">
        <v>23.237784941018795</v>
      </c>
      <c r="K457" s="78">
        <v>88.726313917702626</v>
      </c>
      <c r="L457" s="78">
        <v>21.779708641026559</v>
      </c>
      <c r="M457" s="78">
        <v>160.10308270403596</v>
      </c>
      <c r="N457" s="78">
        <v>5.7768072741614968E-4</v>
      </c>
      <c r="O457" s="78">
        <v>0.48782137805095455</v>
      </c>
      <c r="P457" s="78">
        <v>0.88025415444770272</v>
      </c>
      <c r="Q457" s="83">
        <v>0.38167569694823872</v>
      </c>
    </row>
    <row r="458" spans="10:17" ht="15" customHeight="1">
      <c r="J458" s="78">
        <v>23.289776206486199</v>
      </c>
      <c r="K458" s="78">
        <v>88.785234673656021</v>
      </c>
      <c r="L458" s="78">
        <v>20.801844171429423</v>
      </c>
      <c r="M458" s="78">
        <v>161.08094717363309</v>
      </c>
      <c r="N458" s="78">
        <v>5.7768072741614968E-4</v>
      </c>
      <c r="O458" s="78">
        <v>0.48814532709262948</v>
      </c>
      <c r="P458" s="78">
        <v>0.88563049853372444</v>
      </c>
      <c r="Q458" s="83">
        <v>0.38107664753001091</v>
      </c>
    </row>
    <row r="459" spans="10:17" ht="15" customHeight="1">
      <c r="J459" s="78">
        <v>23.341189791226181</v>
      </c>
      <c r="K459" s="78">
        <v>88.547838339561878</v>
      </c>
      <c r="L459" s="78">
        <v>21.868605410989943</v>
      </c>
      <c r="M459" s="78">
        <v>160.01418593407257</v>
      </c>
      <c r="N459" s="78">
        <v>5.7768072741614968E-4</v>
      </c>
      <c r="O459" s="78">
        <v>0.48684011106675618</v>
      </c>
      <c r="P459" s="78">
        <v>0.87976539589442804</v>
      </c>
      <c r="Q459" s="83">
        <v>0.37922018047296674</v>
      </c>
    </row>
    <row r="460" spans="10:17" ht="15" customHeight="1">
      <c r="J460" s="78">
        <v>23.392603375966171</v>
      </c>
      <c r="K460" s="78">
        <v>88.428972679799642</v>
      </c>
      <c r="L460" s="78">
        <v>21.809340897681011</v>
      </c>
      <c r="M460" s="78">
        <v>160.0734504473815</v>
      </c>
      <c r="N460" s="78">
        <v>0</v>
      </c>
      <c r="O460" s="78">
        <v>0.48618658217112404</v>
      </c>
      <c r="P460" s="78">
        <v>0.88009123492994457</v>
      </c>
      <c r="Q460" s="83">
        <v>0.37787857542133196</v>
      </c>
    </row>
    <row r="461" spans="10:17" ht="15" customHeight="1">
      <c r="J461" s="78">
        <v>23.443439279978744</v>
      </c>
      <c r="K461" s="78">
        <v>88.517538219061123</v>
      </c>
      <c r="L461" s="78">
        <v>21.572282844445368</v>
      </c>
      <c r="M461" s="78">
        <v>160.31050850061715</v>
      </c>
      <c r="N461" s="78">
        <v>5.7768072741614968E-4</v>
      </c>
      <c r="O461" s="78">
        <v>0.4866735196026783</v>
      </c>
      <c r="P461" s="78">
        <v>0.88139459107201024</v>
      </c>
      <c r="Q461" s="83">
        <v>0.37743694887760121</v>
      </c>
    </row>
    <row r="462" spans="10:17" ht="15" customHeight="1">
      <c r="J462" s="78">
        <v>23.495430545446141</v>
      </c>
      <c r="K462" s="78">
        <v>88.546833383270922</v>
      </c>
      <c r="L462" s="78">
        <v>22.01676669426223</v>
      </c>
      <c r="M462" s="78">
        <v>159.86602465080028</v>
      </c>
      <c r="N462" s="78">
        <v>1.1553614548316579E-3</v>
      </c>
      <c r="O462" s="78">
        <v>0.48683458577058319</v>
      </c>
      <c r="P462" s="78">
        <v>0.87895079830563694</v>
      </c>
      <c r="Q462" s="83">
        <v>0.37672643164945213</v>
      </c>
    </row>
    <row r="463" spans="10:17" ht="15" customHeight="1">
      <c r="J463" s="78">
        <v>23.54684413018613</v>
      </c>
      <c r="K463" s="78">
        <v>88.546501693268766</v>
      </c>
      <c r="L463" s="78">
        <v>21.542650587790888</v>
      </c>
      <c r="M463" s="78">
        <v>160.34014075727163</v>
      </c>
      <c r="N463" s="78">
        <v>5.7768072741614968E-4</v>
      </c>
      <c r="O463" s="78">
        <v>0.48683276212360865</v>
      </c>
      <c r="P463" s="78">
        <v>0.88155751058976861</v>
      </c>
      <c r="Q463" s="83">
        <v>0.37590245603682448</v>
      </c>
    </row>
    <row r="464" spans="10:17" ht="15" customHeight="1">
      <c r="J464" s="78">
        <v>23.598257714926113</v>
      </c>
      <c r="K464" s="78">
        <v>88.6054361642896</v>
      </c>
      <c r="L464" s="78">
        <v>21.068534481319574</v>
      </c>
      <c r="M464" s="78">
        <v>160.81425686374294</v>
      </c>
      <c r="N464" s="78">
        <v>1.1553614548316579E-3</v>
      </c>
      <c r="O464" s="78">
        <v>0.48715678657135875</v>
      </c>
      <c r="P464" s="78">
        <v>0.88416422287390017</v>
      </c>
      <c r="Q464" s="83">
        <v>0.37533321716175122</v>
      </c>
    </row>
    <row r="465" spans="10:17" ht="15" customHeight="1">
      <c r="J465" s="78">
        <v>23.649671299666096</v>
      </c>
      <c r="K465" s="78">
        <v>88.694004539678943</v>
      </c>
      <c r="L465" s="78">
        <v>20.59441837484826</v>
      </c>
      <c r="M465" s="78">
        <v>161.28837297021425</v>
      </c>
      <c r="N465" s="78">
        <v>5.7768072741614968E-4</v>
      </c>
      <c r="O465" s="78">
        <v>0.48764373959607521</v>
      </c>
      <c r="P465" s="78">
        <v>0.88677093515803174</v>
      </c>
      <c r="Q465" s="83">
        <v>0.37489175696152044</v>
      </c>
    </row>
    <row r="466" spans="10:17" ht="15" customHeight="1">
      <c r="J466" s="78">
        <v>23.701084884406086</v>
      </c>
      <c r="K466" s="78">
        <v>88.634413279510099</v>
      </c>
      <c r="L466" s="78">
        <v>20.890740941392835</v>
      </c>
      <c r="M466" s="78">
        <v>160.99205040366968</v>
      </c>
      <c r="N466" s="78">
        <v>1.1553614548316579E-3</v>
      </c>
      <c r="O466" s="78">
        <v>0.48731610409120885</v>
      </c>
      <c r="P466" s="78">
        <v>0.88514173998044954</v>
      </c>
      <c r="Q466" s="83">
        <v>0.37382709451021001</v>
      </c>
    </row>
    <row r="467" spans="10:17" ht="15" customHeight="1">
      <c r="J467" s="78">
        <v>23.752498469146072</v>
      </c>
      <c r="K467" s="78">
        <v>88.693352693673148</v>
      </c>
      <c r="L467" s="78">
        <v>20.950005454701738</v>
      </c>
      <c r="M467" s="78">
        <v>160.93278589036078</v>
      </c>
      <c r="N467" s="78">
        <v>1.1553614548316579E-3</v>
      </c>
      <c r="O467" s="78">
        <v>0.48764015571658348</v>
      </c>
      <c r="P467" s="78">
        <v>0.88481590094493312</v>
      </c>
      <c r="Q467" s="83">
        <v>0.3732660651261766</v>
      </c>
    </row>
    <row r="468" spans="10:17" ht="15" customHeight="1">
      <c r="J468" s="78">
        <v>23.803912053886055</v>
      </c>
      <c r="K468" s="78">
        <v>88.574500215623516</v>
      </c>
      <c r="L468" s="78">
        <v>20.712947401466067</v>
      </c>
      <c r="M468" s="78">
        <v>161.16984394359645</v>
      </c>
      <c r="N468" s="78">
        <v>5.7768072741614968E-4</v>
      </c>
      <c r="O468" s="78">
        <v>0.48698669929461696</v>
      </c>
      <c r="P468" s="78">
        <v>0.88611925708699901</v>
      </c>
      <c r="Q468" s="83">
        <v>0.37196055726660554</v>
      </c>
    </row>
    <row r="469" spans="10:17" ht="15" customHeight="1">
      <c r="J469" s="78">
        <v>23.854747957898631</v>
      </c>
      <c r="K469" s="78">
        <v>88.36675622194393</v>
      </c>
      <c r="L469" s="78">
        <v>22.461250544079093</v>
      </c>
      <c r="M469" s="78">
        <v>159.42154080098342</v>
      </c>
      <c r="N469" s="78">
        <v>5.7768072741614968E-4</v>
      </c>
      <c r="O469" s="78">
        <v>0.48584451320794392</v>
      </c>
      <c r="P469" s="78">
        <v>0.87650700553926353</v>
      </c>
      <c r="Q469" s="83">
        <v>0.37029701629674633</v>
      </c>
    </row>
    <row r="470" spans="10:17" ht="15" customHeight="1">
      <c r="J470" s="78">
        <v>23.906739223366028</v>
      </c>
      <c r="K470" s="78">
        <v>88.366432459321004</v>
      </c>
      <c r="L470" s="78">
        <v>21.750076384372107</v>
      </c>
      <c r="M470" s="78">
        <v>160.13271496069041</v>
      </c>
      <c r="N470" s="78">
        <v>0</v>
      </c>
      <c r="O470" s="78">
        <v>0.48584273314606707</v>
      </c>
      <c r="P470" s="78">
        <v>0.88041707396546098</v>
      </c>
      <c r="Q470" s="83">
        <v>0.36949035728071822</v>
      </c>
    </row>
    <row r="471" spans="10:17" ht="15" customHeight="1">
      <c r="J471" s="78">
        <v>23.958152808106018</v>
      </c>
      <c r="K471" s="78">
        <v>88.395746207685903</v>
      </c>
      <c r="L471" s="78">
        <v>21.661179614408752</v>
      </c>
      <c r="M471" s="78">
        <v>160.22161173065376</v>
      </c>
      <c r="N471" s="78">
        <v>0</v>
      </c>
      <c r="O471" s="78">
        <v>0.48600390149051637</v>
      </c>
      <c r="P471" s="78">
        <v>0.88090583251873555</v>
      </c>
      <c r="Q471" s="83">
        <v>0.36881979435849094</v>
      </c>
    </row>
    <row r="472" spans="10:17" ht="15" customHeight="1">
      <c r="J472" s="78">
        <v>24.008988712118587</v>
      </c>
      <c r="K472" s="78">
        <v>88.276903871570966</v>
      </c>
      <c r="L472" s="78">
        <v>22.342721517461257</v>
      </c>
      <c r="M472" s="78">
        <v>159.54006982760126</v>
      </c>
      <c r="N472" s="78">
        <v>5.7768072741614968E-4</v>
      </c>
      <c r="O472" s="78">
        <v>0.48535050082937586</v>
      </c>
      <c r="P472" s="78">
        <v>0.87715868361029647</v>
      </c>
      <c r="Q472" s="83">
        <v>0.3675438755081491</v>
      </c>
    </row>
    <row r="473" spans="10:17" ht="15" customHeight="1">
      <c r="J473" s="78">
        <v>24.06097997758599</v>
      </c>
      <c r="K473" s="78">
        <v>88.276585107631206</v>
      </c>
      <c r="L473" s="78">
        <v>22.194560234188941</v>
      </c>
      <c r="M473" s="78">
        <v>159.68823111087357</v>
      </c>
      <c r="N473" s="78">
        <v>5.7768072741614968E-4</v>
      </c>
      <c r="O473" s="78">
        <v>0.48534874825049035</v>
      </c>
      <c r="P473" s="78">
        <v>0.8779732811990878</v>
      </c>
      <c r="Q473" s="83">
        <v>0.36674835730339311</v>
      </c>
    </row>
    <row r="474" spans="10:17" ht="15" customHeight="1">
      <c r="J474" s="78">
        <v>24.112393562325973</v>
      </c>
      <c r="K474" s="78">
        <v>88.217007029174965</v>
      </c>
      <c r="L474" s="78">
        <v>23.02426342051379</v>
      </c>
      <c r="M474" s="78">
        <v>158.85852792454872</v>
      </c>
      <c r="N474" s="78">
        <v>5.7768072741614968E-4</v>
      </c>
      <c r="O474" s="78">
        <v>0.48502118521928955</v>
      </c>
      <c r="P474" s="78">
        <v>0.87341153470185717</v>
      </c>
      <c r="Q474" s="83">
        <v>0.36571927424998524</v>
      </c>
    </row>
    <row r="475" spans="10:17" ht="15" customHeight="1">
      <c r="J475" s="78">
        <v>24.163807147065956</v>
      </c>
      <c r="K475" s="78">
        <v>88.187062855087277</v>
      </c>
      <c r="L475" s="78">
        <v>22.550147314042505</v>
      </c>
      <c r="M475" s="78">
        <v>159.33264403102001</v>
      </c>
      <c r="N475" s="78">
        <v>5.7768072741614968E-4</v>
      </c>
      <c r="O475" s="78">
        <v>0.48485655076505535</v>
      </c>
      <c r="P475" s="78">
        <v>0.87601824698598862</v>
      </c>
      <c r="Q475" s="83">
        <v>0.36481720794173328</v>
      </c>
    </row>
    <row r="476" spans="10:17" ht="15" customHeight="1">
      <c r="J476" s="78">
        <v>24.215220731805946</v>
      </c>
      <c r="K476" s="78">
        <v>88.186752585368112</v>
      </c>
      <c r="L476" s="78">
        <v>21.779708641026559</v>
      </c>
      <c r="M476" s="78">
        <v>160.10308270403596</v>
      </c>
      <c r="N476" s="78">
        <v>0</v>
      </c>
      <c r="O476" s="78">
        <v>0.48485484488778752</v>
      </c>
      <c r="P476" s="78">
        <v>0.88025415444770272</v>
      </c>
      <c r="Q476" s="83">
        <v>0.36404134933548243</v>
      </c>
    </row>
    <row r="477" spans="10:17" ht="15" customHeight="1">
      <c r="J477" s="78">
        <v>24.266634316545932</v>
      </c>
      <c r="K477" s="78">
        <v>88.097547193399649</v>
      </c>
      <c r="L477" s="78">
        <v>22.905734393895983</v>
      </c>
      <c r="M477" s="78">
        <v>158.97705695116653</v>
      </c>
      <c r="N477" s="78">
        <v>5.7768072741614968E-4</v>
      </c>
      <c r="O477" s="78">
        <v>0.48436438951645322</v>
      </c>
      <c r="P477" s="78">
        <v>0.87406321277289001</v>
      </c>
      <c r="Q477" s="83">
        <v>0.36290245180238195</v>
      </c>
    </row>
    <row r="478" spans="10:17" ht="15" customHeight="1">
      <c r="J478" s="78">
        <v>24.318047901285915</v>
      </c>
      <c r="K478" s="78">
        <v>88.008343449145272</v>
      </c>
      <c r="L478" s="78">
        <v>22.135295720880038</v>
      </c>
      <c r="M478" s="78">
        <v>159.74749562418248</v>
      </c>
      <c r="N478" s="78">
        <v>5.7768072741614968E-4</v>
      </c>
      <c r="O478" s="78">
        <v>0.48387394320432719</v>
      </c>
      <c r="P478" s="78">
        <v>0.8782991202346041</v>
      </c>
      <c r="Q478" s="83">
        <v>0.36176837679375151</v>
      </c>
    </row>
    <row r="479" spans="10:17" ht="15" customHeight="1">
      <c r="J479" s="78">
        <v>24.369461486025905</v>
      </c>
      <c r="K479" s="78">
        <v>88.037670379222789</v>
      </c>
      <c r="L479" s="78">
        <v>22.816837623932571</v>
      </c>
      <c r="M479" s="78">
        <v>159.06595372112994</v>
      </c>
      <c r="N479" s="78">
        <v>1.1553614548316579E-3</v>
      </c>
      <c r="O479" s="78">
        <v>0.48403518402244217</v>
      </c>
      <c r="P479" s="78">
        <v>0.87455197132616491</v>
      </c>
      <c r="Q479" s="83">
        <v>0.36112547723284955</v>
      </c>
    </row>
    <row r="480" spans="10:17" ht="15" customHeight="1">
      <c r="J480" s="78">
        <v>24.420875070765891</v>
      </c>
      <c r="K480" s="78">
        <v>88.007734443705473</v>
      </c>
      <c r="L480" s="78">
        <v>22.283457004152353</v>
      </c>
      <c r="M480" s="78">
        <v>159.59933434091016</v>
      </c>
      <c r="N480" s="78">
        <v>5.7768072741614968E-4</v>
      </c>
      <c r="O480" s="78">
        <v>0.48387059486424899</v>
      </c>
      <c r="P480" s="78">
        <v>0.87748452264581289</v>
      </c>
      <c r="Q480" s="83">
        <v>0.36024261170019634</v>
      </c>
    </row>
    <row r="481" spans="10:17" ht="15" customHeight="1">
      <c r="J481" s="78">
        <v>24.472288655505871</v>
      </c>
      <c r="K481" s="78">
        <v>88.155593695828983</v>
      </c>
      <c r="L481" s="78">
        <v>21.838973154335463</v>
      </c>
      <c r="M481" s="78">
        <v>160.04381819072705</v>
      </c>
      <c r="N481" s="78">
        <v>1.1553614548316579E-3</v>
      </c>
      <c r="O481" s="78">
        <v>0.48468353187181334</v>
      </c>
      <c r="P481" s="78">
        <v>0.87992831541218641</v>
      </c>
      <c r="Q481" s="83">
        <v>0.36008997216231603</v>
      </c>
    </row>
    <row r="482" spans="10:17" ht="15" customHeight="1">
      <c r="J482" s="78">
        <v>24.523702240245861</v>
      </c>
      <c r="K482" s="78">
        <v>88.007132029121991</v>
      </c>
      <c r="L482" s="78">
        <v>22.490882800733516</v>
      </c>
      <c r="M482" s="78">
        <v>159.391908544329</v>
      </c>
      <c r="N482" s="78">
        <v>5.7768072741614968E-4</v>
      </c>
      <c r="O482" s="78">
        <v>0.48386728276100366</v>
      </c>
      <c r="P482" s="78">
        <v>0.87634408602150549</v>
      </c>
      <c r="Q482" s="83">
        <v>0.35872966845932375</v>
      </c>
    </row>
    <row r="483" spans="10:17" ht="15" customHeight="1">
      <c r="J483" s="78">
        <v>24.574538144258433</v>
      </c>
      <c r="K483" s="78">
        <v>87.947572127520743</v>
      </c>
      <c r="L483" s="78">
        <v>22.490882800733516</v>
      </c>
      <c r="M483" s="78">
        <v>159.391908544329</v>
      </c>
      <c r="N483" s="78">
        <v>5.7768072741614968E-4</v>
      </c>
      <c r="O483" s="78">
        <v>0.48353981966699244</v>
      </c>
      <c r="P483" s="78">
        <v>0.87634408602150549</v>
      </c>
      <c r="Q483" s="83">
        <v>0.35774522118261931</v>
      </c>
    </row>
    <row r="484" spans="10:17" ht="15" customHeight="1">
      <c r="J484" s="78">
        <v>24.62652940972583</v>
      </c>
      <c r="K484" s="78">
        <v>87.888007178776959</v>
      </c>
      <c r="L484" s="78">
        <v>22.816837623932571</v>
      </c>
      <c r="M484" s="78">
        <v>159.06595372112994</v>
      </c>
      <c r="N484" s="78">
        <v>5.7768072741614968E-4</v>
      </c>
      <c r="O484" s="78">
        <v>0.48321232882355813</v>
      </c>
      <c r="P484" s="78">
        <v>0.87455197132616491</v>
      </c>
      <c r="Q484" s="83">
        <v>0.35674808020387955</v>
      </c>
    </row>
    <row r="485" spans="10:17" ht="15" customHeight="1">
      <c r="J485" s="78">
        <v>24.67794299446582</v>
      </c>
      <c r="K485" s="78">
        <v>87.946976251793402</v>
      </c>
      <c r="L485" s="78">
        <v>22.757573110623667</v>
      </c>
      <c r="M485" s="78">
        <v>159.12521823443885</v>
      </c>
      <c r="N485" s="78">
        <v>5.7768072741614968E-4</v>
      </c>
      <c r="O485" s="78">
        <v>0.48353654351468067</v>
      </c>
      <c r="P485" s="78">
        <v>0.87487781036168133</v>
      </c>
      <c r="Q485" s="83">
        <v>0.35624379221060809</v>
      </c>
    </row>
    <row r="486" spans="10:17" ht="15" customHeight="1">
      <c r="J486" s="78">
        <v>24.729356579205806</v>
      </c>
      <c r="K486" s="78">
        <v>87.917050202560532</v>
      </c>
      <c r="L486" s="78">
        <v>22.727940853969187</v>
      </c>
      <c r="M486" s="78">
        <v>159.15485049109333</v>
      </c>
      <c r="N486" s="78">
        <v>5.7768072741614968E-4</v>
      </c>
      <c r="O486" s="78">
        <v>0.48337200871173663</v>
      </c>
      <c r="P486" s="78">
        <v>0.87504072987943959</v>
      </c>
      <c r="Q486" s="83">
        <v>0.35538212905920535</v>
      </c>
    </row>
    <row r="487" spans="10:17" ht="15" customHeight="1">
      <c r="J487" s="78">
        <v>24.780770163945789</v>
      </c>
      <c r="K487" s="78">
        <v>87.768596774423926</v>
      </c>
      <c r="L487" s="78">
        <v>22.876102137241531</v>
      </c>
      <c r="M487" s="78">
        <v>159.00668920782098</v>
      </c>
      <c r="N487" s="78">
        <v>5.7768072741614968E-4</v>
      </c>
      <c r="O487" s="78">
        <v>0.48255580489696798</v>
      </c>
      <c r="P487" s="78">
        <v>0.87422613229064816</v>
      </c>
      <c r="Q487" s="83">
        <v>0.35404573750228335</v>
      </c>
    </row>
    <row r="488" spans="10:17" ht="15" customHeight="1">
      <c r="J488" s="78">
        <v>24.832183748685775</v>
      </c>
      <c r="K488" s="78">
        <v>87.827570790582598</v>
      </c>
      <c r="L488" s="78">
        <v>22.964998907204915</v>
      </c>
      <c r="M488" s="78">
        <v>158.9177924378576</v>
      </c>
      <c r="N488" s="78">
        <v>5.7768072741614968E-4</v>
      </c>
      <c r="O488" s="78">
        <v>0.48288004676571517</v>
      </c>
      <c r="P488" s="78">
        <v>0.87373737373737348</v>
      </c>
      <c r="Q488" s="83">
        <v>0.35355019675421329</v>
      </c>
    </row>
    <row r="489" spans="10:17" ht="15" customHeight="1">
      <c r="J489" s="78">
        <v>24.883597333425762</v>
      </c>
      <c r="K489" s="78">
        <v>87.679120657874122</v>
      </c>
      <c r="L489" s="78">
        <v>23.113160190477146</v>
      </c>
      <c r="M489" s="78">
        <v>158.76963115458537</v>
      </c>
      <c r="N489" s="78">
        <v>1.1553614548316579E-3</v>
      </c>
      <c r="O489" s="78">
        <v>0.48206386106936283</v>
      </c>
      <c r="P489" s="78">
        <v>0.8729227761485826</v>
      </c>
      <c r="Q489" s="83">
        <v>0.35222312591999949</v>
      </c>
    </row>
    <row r="490" spans="10:17" ht="15" customHeight="1">
      <c r="J490" s="78">
        <v>24.935010918165752</v>
      </c>
      <c r="K490" s="78">
        <v>87.767730226115418</v>
      </c>
      <c r="L490" s="78">
        <v>22.935366650550435</v>
      </c>
      <c r="M490" s="78">
        <v>158.94742469451208</v>
      </c>
      <c r="N490" s="78">
        <v>0</v>
      </c>
      <c r="O490" s="78">
        <v>0.48255104057428472</v>
      </c>
      <c r="P490" s="78">
        <v>0.87390029325513185</v>
      </c>
      <c r="Q490" s="83">
        <v>0.351852237904827</v>
      </c>
    </row>
    <row r="491" spans="10:17" ht="15" customHeight="1">
      <c r="J491" s="78">
        <v>24.986424502905734</v>
      </c>
      <c r="K491" s="78">
        <v>87.708180158798513</v>
      </c>
      <c r="L491" s="78">
        <v>23.202056960440558</v>
      </c>
      <c r="M491" s="78">
        <v>158.68073438462196</v>
      </c>
      <c r="N491" s="78">
        <v>5.7768072741614968E-4</v>
      </c>
      <c r="O491" s="78">
        <v>0.48222363154962372</v>
      </c>
      <c r="P491" s="78">
        <v>0.8724340175953077</v>
      </c>
      <c r="Q491" s="83">
        <v>0.35088991568147865</v>
      </c>
    </row>
    <row r="492" spans="10:17" ht="15" customHeight="1">
      <c r="J492" s="78">
        <v>25.037260406918303</v>
      </c>
      <c r="K492" s="78">
        <v>87.55973815003783</v>
      </c>
      <c r="L492" s="78">
        <v>23.409482757021721</v>
      </c>
      <c r="M492" s="78">
        <v>158.47330858804079</v>
      </c>
      <c r="N492" s="78">
        <v>0</v>
      </c>
      <c r="O492" s="78">
        <v>0.48140749051911214</v>
      </c>
      <c r="P492" s="78">
        <v>0.8712935809710004</v>
      </c>
      <c r="Q492" s="83">
        <v>0.34958458089574462</v>
      </c>
    </row>
    <row r="493" spans="10:17" ht="15" customHeight="1">
      <c r="J493" s="78">
        <v>25.089251672385711</v>
      </c>
      <c r="K493" s="78">
        <v>87.618717223961326</v>
      </c>
      <c r="L493" s="78">
        <v>23.053895677168242</v>
      </c>
      <c r="M493" s="78">
        <v>158.82889566789427</v>
      </c>
      <c r="N493" s="78">
        <v>5.7768072741614968E-4</v>
      </c>
      <c r="O493" s="78">
        <v>0.48173176019568426</v>
      </c>
      <c r="P493" s="78">
        <v>0.87324861518409902</v>
      </c>
      <c r="Q493" s="83">
        <v>0.3490952304154421</v>
      </c>
    </row>
    <row r="494" spans="10:17" ht="15" customHeight="1">
      <c r="J494" s="78">
        <v>25.140665257125693</v>
      </c>
      <c r="K494" s="78">
        <v>87.559172099786636</v>
      </c>
      <c r="L494" s="78">
        <v>23.350218243712817</v>
      </c>
      <c r="M494" s="78">
        <v>158.5325731013497</v>
      </c>
      <c r="N494" s="78">
        <v>0</v>
      </c>
      <c r="O494" s="78">
        <v>0.4814043783486478</v>
      </c>
      <c r="P494" s="78">
        <v>0.87161942000651682</v>
      </c>
      <c r="Q494" s="83">
        <v>0.34814446998868759</v>
      </c>
    </row>
    <row r="495" spans="10:17" ht="15" customHeight="1">
      <c r="J495" s="78">
        <v>25.19207884186568</v>
      </c>
      <c r="K495" s="78">
        <v>87.677422163252743</v>
      </c>
      <c r="L495" s="78">
        <v>22.520515057388025</v>
      </c>
      <c r="M495" s="78">
        <v>159.36227628767449</v>
      </c>
      <c r="N495" s="78">
        <v>1.1553614548316579E-3</v>
      </c>
      <c r="O495" s="78">
        <v>0.48205452266736876</v>
      </c>
      <c r="P495" s="78">
        <v>0.876181166503747</v>
      </c>
      <c r="Q495" s="83">
        <v>0.34790334860680239</v>
      </c>
    </row>
    <row r="496" spans="10:17" ht="15" customHeight="1">
      <c r="J496" s="78">
        <v>25.24349242660567</v>
      </c>
      <c r="K496" s="78">
        <v>87.558615821197307</v>
      </c>
      <c r="L496" s="78">
        <v>23.409482757021721</v>
      </c>
      <c r="M496" s="78">
        <v>158.47330858804079</v>
      </c>
      <c r="N496" s="78">
        <v>5.7768072741614968E-4</v>
      </c>
      <c r="O496" s="78">
        <v>0.48140131990323237</v>
      </c>
      <c r="P496" s="78">
        <v>0.8712935809710004</v>
      </c>
      <c r="Q496" s="83">
        <v>0.34672413013744791</v>
      </c>
    </row>
    <row r="497" spans="10:17" ht="15" customHeight="1">
      <c r="J497" s="78">
        <v>25.294906011345645</v>
      </c>
      <c r="K497" s="78">
        <v>87.410178870201463</v>
      </c>
      <c r="L497" s="78">
        <v>23.142792447131654</v>
      </c>
      <c r="M497" s="78">
        <v>158.73999889793086</v>
      </c>
      <c r="N497" s="78">
        <v>1.1553614548316579E-3</v>
      </c>
      <c r="O497" s="78">
        <v>0.48058520668054583</v>
      </c>
      <c r="P497" s="78">
        <v>0.87275985663082412</v>
      </c>
      <c r="Q497" s="83">
        <v>0.34543256473170386</v>
      </c>
    </row>
    <row r="498" spans="10:17" ht="15" customHeight="1">
      <c r="J498" s="78">
        <v>25.346319596085632</v>
      </c>
      <c r="K498" s="78">
        <v>87.35064033688306</v>
      </c>
      <c r="L498" s="78">
        <v>23.676173066911844</v>
      </c>
      <c r="M498" s="78">
        <v>158.20661827815067</v>
      </c>
      <c r="N498" s="78">
        <v>1.1553614548316579E-3</v>
      </c>
      <c r="O498" s="78">
        <v>0.48025786107034213</v>
      </c>
      <c r="P498" s="78">
        <v>0.86982730531117636</v>
      </c>
      <c r="Q498" s="83">
        <v>0.34449697407599833</v>
      </c>
    </row>
    <row r="499" spans="10:17" ht="15" customHeight="1">
      <c r="J499" s="78">
        <v>25.397155500098208</v>
      </c>
      <c r="K499" s="78">
        <v>87.439267785761089</v>
      </c>
      <c r="L499" s="78">
        <v>23.23168921709501</v>
      </c>
      <c r="M499" s="78">
        <v>158.6511021279675</v>
      </c>
      <c r="N499" s="78">
        <v>-1.1553614548310167E-3</v>
      </c>
      <c r="O499" s="78">
        <v>0.48074513888383186</v>
      </c>
      <c r="P499" s="78">
        <v>0.87227109807754954</v>
      </c>
      <c r="Q499" s="83">
        <v>0.34415638198808068</v>
      </c>
    </row>
    <row r="500" spans="10:17" ht="15" customHeight="1">
      <c r="J500" s="78">
        <v>25.449146765565605</v>
      </c>
      <c r="K500" s="78">
        <v>87.379729496660772</v>
      </c>
      <c r="L500" s="78">
        <v>23.26132147374949</v>
      </c>
      <c r="M500" s="78">
        <v>158.62146987131302</v>
      </c>
      <c r="N500" s="78">
        <v>0</v>
      </c>
      <c r="O500" s="78">
        <v>0.48041779461635048</v>
      </c>
      <c r="P500" s="78">
        <v>0.87210817855979117</v>
      </c>
      <c r="Q500" s="83">
        <v>0.34321933859924142</v>
      </c>
    </row>
    <row r="501" spans="10:17" ht="15" customHeight="1">
      <c r="J501" s="78">
        <v>25.499982669578173</v>
      </c>
      <c r="K501" s="78">
        <v>87.379463433976298</v>
      </c>
      <c r="L501" s="78">
        <v>23.439115013676229</v>
      </c>
      <c r="M501" s="78">
        <v>158.44367633138629</v>
      </c>
      <c r="N501" s="78">
        <v>0</v>
      </c>
      <c r="O501" s="78">
        <v>0.48041633179140425</v>
      </c>
      <c r="P501" s="78">
        <v>0.87113066145324192</v>
      </c>
      <c r="Q501" s="83">
        <v>0.34253406473662096</v>
      </c>
    </row>
    <row r="502" spans="10:17" ht="15" customHeight="1">
      <c r="J502" s="78">
        <v>25.55139625431816</v>
      </c>
      <c r="K502" s="78">
        <v>87.31993147300058</v>
      </c>
      <c r="L502" s="78">
        <v>23.409482757021721</v>
      </c>
      <c r="M502" s="78">
        <v>158.47330858804079</v>
      </c>
      <c r="N502" s="78">
        <v>1.1553614548316579E-3</v>
      </c>
      <c r="O502" s="78">
        <v>0.48008902231624462</v>
      </c>
      <c r="P502" s="78">
        <v>0.8712935809710004</v>
      </c>
      <c r="Q502" s="83">
        <v>0.34161184115139293</v>
      </c>
    </row>
    <row r="503" spans="10:17" ht="15" customHeight="1">
      <c r="J503" s="78">
        <v>25.603387519785564</v>
      </c>
      <c r="K503" s="78">
        <v>87.349294952546813</v>
      </c>
      <c r="L503" s="78">
        <v>23.23168921709501</v>
      </c>
      <c r="M503" s="78">
        <v>158.6511021279675</v>
      </c>
      <c r="N503" s="78">
        <v>-5.7768072741550837E-4</v>
      </c>
      <c r="O503" s="78">
        <v>0.48025046408502925</v>
      </c>
      <c r="P503" s="78">
        <v>0.87227109807754954</v>
      </c>
      <c r="Q503" s="83">
        <v>0.34103283636329479</v>
      </c>
    </row>
    <row r="504" spans="10:17" ht="15" customHeight="1">
      <c r="J504" s="78">
        <v>25.65480110452555</v>
      </c>
      <c r="K504" s="78">
        <v>87.230501792203953</v>
      </c>
      <c r="L504" s="78">
        <v>23.202056960440558</v>
      </c>
      <c r="M504" s="78">
        <v>158.68073438462196</v>
      </c>
      <c r="N504" s="78">
        <v>0</v>
      </c>
      <c r="O504" s="78">
        <v>0.47959733379455832</v>
      </c>
      <c r="P504" s="78">
        <v>0.8724340175953077</v>
      </c>
      <c r="Q504" s="83">
        <v>0.3398863438784796</v>
      </c>
    </row>
    <row r="505" spans="10:17" ht="15" customHeight="1">
      <c r="J505" s="78">
        <v>25.70621468926554</v>
      </c>
      <c r="K505" s="78">
        <v>87.348768332810863</v>
      </c>
      <c r="L505" s="78">
        <v>23.824334350184159</v>
      </c>
      <c r="M505" s="78">
        <v>158.05845699487836</v>
      </c>
      <c r="N505" s="78">
        <v>1.1553614548316579E-3</v>
      </c>
      <c r="O505" s="78">
        <v>0.48024756870536162</v>
      </c>
      <c r="P505" s="78">
        <v>0.86901270772238504</v>
      </c>
      <c r="Q505" s="83">
        <v>0.33966662575387258</v>
      </c>
    </row>
    <row r="506" spans="10:17" ht="15" customHeight="1">
      <c r="J506" s="78">
        <v>25.757628274005523</v>
      </c>
      <c r="K506" s="78">
        <v>87.229978467896146</v>
      </c>
      <c r="L506" s="78">
        <v>23.26132147374949</v>
      </c>
      <c r="M506" s="78">
        <v>158.62146987131302</v>
      </c>
      <c r="N506" s="78">
        <v>1.7330421822471661E-3</v>
      </c>
      <c r="O506" s="78">
        <v>0.47959445653330707</v>
      </c>
      <c r="P506" s="78">
        <v>0.87210817855979117</v>
      </c>
      <c r="Q506" s="83">
        <v>0.33852745001044343</v>
      </c>
    </row>
    <row r="507" spans="10:17" ht="15" customHeight="1">
      <c r="J507" s="78">
        <v>25.808464178018092</v>
      </c>
      <c r="K507" s="78">
        <v>87.200089923759862</v>
      </c>
      <c r="L507" s="78">
        <v>23.290953730403913</v>
      </c>
      <c r="M507" s="78">
        <v>158.5918376146586</v>
      </c>
      <c r="N507" s="78">
        <v>1.1553614548316579E-3</v>
      </c>
      <c r="O507" s="78">
        <v>0.47943012793511891</v>
      </c>
      <c r="P507" s="78">
        <v>0.87194525904203313</v>
      </c>
      <c r="Q507" s="83">
        <v>0.33774483066398947</v>
      </c>
    </row>
    <row r="508" spans="10:17" ht="15" customHeight="1">
      <c r="J508" s="78">
        <v>25.860455443485499</v>
      </c>
      <c r="K508" s="78">
        <v>87.140564964481314</v>
      </c>
      <c r="L508" s="78">
        <v>23.202056960440558</v>
      </c>
      <c r="M508" s="78">
        <v>158.68073438462196</v>
      </c>
      <c r="N508" s="78">
        <v>1.1553614548316579E-3</v>
      </c>
      <c r="O508" s="78">
        <v>0.47910285695561422</v>
      </c>
      <c r="P508" s="78">
        <v>0.8724340175953077</v>
      </c>
      <c r="Q508" s="83">
        <v>0.33683563255916371</v>
      </c>
    </row>
    <row r="509" spans="10:17" ht="15" customHeight="1">
      <c r="J509" s="78">
        <v>25.911291347498068</v>
      </c>
      <c r="K509" s="78">
        <v>86.903253882164648</v>
      </c>
      <c r="L509" s="78">
        <v>23.942863376801967</v>
      </c>
      <c r="M509" s="78">
        <v>157.93992796826055</v>
      </c>
      <c r="N509" s="78">
        <v>0</v>
      </c>
      <c r="O509" s="78">
        <v>0.47779810964795694</v>
      </c>
      <c r="P509" s="78">
        <v>0.86836102965135231</v>
      </c>
      <c r="Q509" s="83">
        <v>0.33525892796468565</v>
      </c>
    </row>
    <row r="510" spans="10:17" ht="15" customHeight="1">
      <c r="J510" s="78">
        <v>25.962704932238051</v>
      </c>
      <c r="K510" s="78">
        <v>86.991896386173849</v>
      </c>
      <c r="L510" s="78">
        <v>23.794702093529708</v>
      </c>
      <c r="M510" s="78">
        <v>158.08808925153281</v>
      </c>
      <c r="N510" s="78">
        <v>1.1553614548316579E-3</v>
      </c>
      <c r="O510" s="78">
        <v>0.4782854702352542</v>
      </c>
      <c r="P510" s="78">
        <v>0.86917562724014319</v>
      </c>
      <c r="Q510" s="83">
        <v>0.33493644180911447</v>
      </c>
    </row>
    <row r="511" spans="10:17" ht="15" customHeight="1">
      <c r="J511" s="78">
        <v>26.014696197705451</v>
      </c>
      <c r="K511" s="78">
        <v>86.932376425578425</v>
      </c>
      <c r="L511" s="78">
        <v>23.202056960440558</v>
      </c>
      <c r="M511" s="78">
        <v>158.68073438462196</v>
      </c>
      <c r="N511" s="78">
        <v>1.1553614548316579E-3</v>
      </c>
      <c r="O511" s="78">
        <v>0.47795822673874055</v>
      </c>
      <c r="P511" s="78">
        <v>0.8724340175953077</v>
      </c>
      <c r="Q511" s="83">
        <v>0.33403826620318877</v>
      </c>
    </row>
    <row r="512" spans="10:17" ht="15" customHeight="1">
      <c r="J512" s="78">
        <v>26.066109782445434</v>
      </c>
      <c r="K512" s="78">
        <v>86.961757730220512</v>
      </c>
      <c r="L512" s="78">
        <v>23.765069836875256</v>
      </c>
      <c r="M512" s="78">
        <v>158.11772150818726</v>
      </c>
      <c r="N512" s="78">
        <v>5.7768072741614968E-4</v>
      </c>
      <c r="O512" s="78">
        <v>0.47811976651072668</v>
      </c>
      <c r="P512" s="78">
        <v>0.86933854675790145</v>
      </c>
      <c r="Q512" s="83">
        <v>0.33349211741610685</v>
      </c>
    </row>
    <row r="513" spans="10:17" ht="15" customHeight="1">
      <c r="J513" s="78">
        <v>26.117523367185424</v>
      </c>
      <c r="K513" s="78">
        <v>86.902243912613258</v>
      </c>
      <c r="L513" s="78">
        <v>23.350218243712817</v>
      </c>
      <c r="M513" s="78">
        <v>158.5325731013497</v>
      </c>
      <c r="N513" s="78">
        <v>0</v>
      </c>
      <c r="O513" s="78">
        <v>0.47779255678864613</v>
      </c>
      <c r="P513" s="78">
        <v>0.87161942000651682</v>
      </c>
      <c r="Q513" s="83">
        <v>0.33260775304989609</v>
      </c>
    </row>
    <row r="514" spans="10:17" ht="15" customHeight="1">
      <c r="J514" s="78">
        <v>26.16893695192541</v>
      </c>
      <c r="K514" s="78">
        <v>86.901996256029008</v>
      </c>
      <c r="L514" s="78">
        <v>23.290953730403913</v>
      </c>
      <c r="M514" s="78">
        <v>158.5918376146586</v>
      </c>
      <c r="N514" s="78">
        <v>0</v>
      </c>
      <c r="O514" s="78">
        <v>0.47779119516129032</v>
      </c>
      <c r="P514" s="78">
        <v>0.87194525904203313</v>
      </c>
      <c r="Q514" s="83">
        <v>0.33195333890282952</v>
      </c>
    </row>
    <row r="515" spans="10:17" ht="15" customHeight="1">
      <c r="J515" s="78">
        <v>26.220350536665393</v>
      </c>
      <c r="K515" s="78">
        <v>86.931382503813282</v>
      </c>
      <c r="L515" s="78">
        <v>23.37985050036724</v>
      </c>
      <c r="M515" s="78">
        <v>158.50294084469527</v>
      </c>
      <c r="N515" s="78">
        <v>1.1553614548316579E-3</v>
      </c>
      <c r="O515" s="78">
        <v>0.47795276211090088</v>
      </c>
      <c r="P515" s="78">
        <v>0.87145650048875878</v>
      </c>
      <c r="Q515" s="83">
        <v>0.33141450986157706</v>
      </c>
    </row>
    <row r="516" spans="10:17" ht="15" customHeight="1">
      <c r="J516" s="78">
        <v>26.271186440677962</v>
      </c>
      <c r="K516" s="78">
        <v>86.782979595863054</v>
      </c>
      <c r="L516" s="78">
        <v>23.735437580220804</v>
      </c>
      <c r="M516" s="78">
        <v>158.14735376484171</v>
      </c>
      <c r="N516" s="78">
        <v>0</v>
      </c>
      <c r="O516" s="78">
        <v>0.47713683605845381</v>
      </c>
      <c r="P516" s="78">
        <v>0.86950146627565961</v>
      </c>
      <c r="Q516" s="83">
        <v>0.33020831968519238</v>
      </c>
    </row>
    <row r="517" spans="10:17" ht="15" customHeight="1">
      <c r="J517" s="78">
        <v>26.323177706145369</v>
      </c>
      <c r="K517" s="78">
        <v>86.75310188928843</v>
      </c>
      <c r="L517" s="78">
        <v>24.061392403419831</v>
      </c>
      <c r="M517" s="78">
        <v>157.82139894164268</v>
      </c>
      <c r="N517" s="78">
        <v>1.1553614548316579E-3</v>
      </c>
      <c r="O517" s="78">
        <v>0.47697256704568097</v>
      </c>
      <c r="P517" s="78">
        <v>0.86770935158031914</v>
      </c>
      <c r="Q517" s="83">
        <v>0.3294426173337982</v>
      </c>
    </row>
    <row r="518" spans="10:17" ht="15" customHeight="1">
      <c r="J518" s="78">
        <v>26.374591290885352</v>
      </c>
      <c r="K518" s="78">
        <v>86.84175759352388</v>
      </c>
      <c r="L518" s="78">
        <v>23.439115013676229</v>
      </c>
      <c r="M518" s="78">
        <v>158.44367633138629</v>
      </c>
      <c r="N518" s="78">
        <v>1.1553614548316579E-3</v>
      </c>
      <c r="O518" s="78">
        <v>0.47746000020843277</v>
      </c>
      <c r="P518" s="78">
        <v>0.87113066145324192</v>
      </c>
      <c r="Q518" s="83">
        <v>0.32913655551048199</v>
      </c>
    </row>
    <row r="519" spans="10:17" ht="15" customHeight="1">
      <c r="J519" s="78">
        <v>26.426004875625342</v>
      </c>
      <c r="K519" s="78">
        <v>86.693356892237716</v>
      </c>
      <c r="L519" s="78">
        <v>23.557644040294065</v>
      </c>
      <c r="M519" s="78">
        <v>158.32514730476845</v>
      </c>
      <c r="N519" s="78">
        <v>5.7768072741614968E-4</v>
      </c>
      <c r="O519" s="78">
        <v>0.47664408628832677</v>
      </c>
      <c r="P519" s="78">
        <v>0.87047898338220897</v>
      </c>
      <c r="Q519" s="83">
        <v>0.32793462731642192</v>
      </c>
    </row>
    <row r="520" spans="10:17" ht="15" customHeight="1">
      <c r="J520" s="78">
        <v>26.477418460365325</v>
      </c>
      <c r="K520" s="78">
        <v>86.574590095320076</v>
      </c>
      <c r="L520" s="78">
        <v>23.883598863493063</v>
      </c>
      <c r="M520" s="78">
        <v>157.99919248156945</v>
      </c>
      <c r="N520" s="78">
        <v>1.1553614548316579E-3</v>
      </c>
      <c r="O520" s="78">
        <v>0.47599110094518721</v>
      </c>
      <c r="P520" s="78">
        <v>0.86868686868686862</v>
      </c>
      <c r="Q520" s="83">
        <v>0.3268492883327333</v>
      </c>
    </row>
    <row r="521" spans="10:17" ht="15" customHeight="1">
      <c r="J521" s="78">
        <v>26.528832045105311</v>
      </c>
      <c r="K521" s="78">
        <v>86.574353972734372</v>
      </c>
      <c r="L521" s="78">
        <v>23.61690855360294</v>
      </c>
      <c r="M521" s="78">
        <v>158.26588279145957</v>
      </c>
      <c r="N521" s="78">
        <v>5.7768072741614968E-4</v>
      </c>
      <c r="O521" s="78">
        <v>0.47598980273228891</v>
      </c>
      <c r="P521" s="78">
        <v>0.87015314434669266</v>
      </c>
      <c r="Q521" s="83">
        <v>0.32621495562585584</v>
      </c>
    </row>
    <row r="522" spans="10:17" ht="15" customHeight="1">
      <c r="J522" s="78">
        <v>26.580245629845301</v>
      </c>
      <c r="K522" s="78">
        <v>86.544487241208287</v>
      </c>
      <c r="L522" s="78">
        <v>23.02426342051379</v>
      </c>
      <c r="M522" s="78">
        <v>158.85852792454872</v>
      </c>
      <c r="N522" s="78">
        <v>5.7768072741614968E-4</v>
      </c>
      <c r="O522" s="78">
        <v>0.47582559406084057</v>
      </c>
      <c r="P522" s="78">
        <v>0.87341153470185717</v>
      </c>
      <c r="Q522" s="83">
        <v>0.3254716008167135</v>
      </c>
    </row>
    <row r="523" spans="10:17" ht="15" customHeight="1">
      <c r="J523" s="78">
        <v>26.631659214585284</v>
      </c>
      <c r="K523" s="78">
        <v>86.573886670705193</v>
      </c>
      <c r="L523" s="78">
        <v>23.409482757021721</v>
      </c>
      <c r="M523" s="78">
        <v>158.47330858804079</v>
      </c>
      <c r="N523" s="78">
        <v>5.7768072741614968E-4</v>
      </c>
      <c r="O523" s="78">
        <v>0.47598723348411692</v>
      </c>
      <c r="P523" s="78">
        <v>0.8712935809710004</v>
      </c>
      <c r="Q523" s="83">
        <v>0.3249536564157201</v>
      </c>
    </row>
    <row r="524" spans="10:17" ht="15" customHeight="1">
      <c r="J524" s="78">
        <v>26.68307279932527</v>
      </c>
      <c r="K524" s="78">
        <v>86.425494207989402</v>
      </c>
      <c r="L524" s="78">
        <v>23.765069836875256</v>
      </c>
      <c r="M524" s="78">
        <v>158.11772150818726</v>
      </c>
      <c r="N524" s="78">
        <v>5.7768072741614968E-4</v>
      </c>
      <c r="O524" s="78">
        <v>0.47517136486005196</v>
      </c>
      <c r="P524" s="78">
        <v>0.86933854675790145</v>
      </c>
      <c r="Q524" s="83">
        <v>0.32377139832799812</v>
      </c>
    </row>
    <row r="525" spans="10:17" ht="15" customHeight="1">
      <c r="J525" s="78">
        <v>26.734486384065253</v>
      </c>
      <c r="K525" s="78">
        <v>86.395632419605576</v>
      </c>
      <c r="L525" s="78">
        <v>23.942863376801967</v>
      </c>
      <c r="M525" s="78">
        <v>157.93992796826055</v>
      </c>
      <c r="N525" s="78">
        <v>5.7768072741614968E-4</v>
      </c>
      <c r="O525" s="78">
        <v>0.47500718336622844</v>
      </c>
      <c r="P525" s="78">
        <v>0.86836102965135231</v>
      </c>
      <c r="Q525" s="83">
        <v>0.32303704993691013</v>
      </c>
    </row>
    <row r="526" spans="10:17" ht="15" customHeight="1">
      <c r="J526" s="78">
        <v>26.785899968805239</v>
      </c>
      <c r="K526" s="78">
        <v>86.395404535590245</v>
      </c>
      <c r="L526" s="78">
        <v>23.557644040294065</v>
      </c>
      <c r="M526" s="78">
        <v>158.32514730476845</v>
      </c>
      <c r="N526" s="78">
        <v>5.7768072741614968E-4</v>
      </c>
      <c r="O526" s="78">
        <v>0.47500593044937112</v>
      </c>
      <c r="P526" s="78">
        <v>0.87047898338220897</v>
      </c>
      <c r="Q526" s="83">
        <v>0.32241615307841415</v>
      </c>
    </row>
    <row r="527" spans="10:17" ht="15" customHeight="1">
      <c r="J527" s="78">
        <v>26.837313553545229</v>
      </c>
      <c r="K527" s="78">
        <v>86.395178299288986</v>
      </c>
      <c r="L527" s="78">
        <v>23.528011783639585</v>
      </c>
      <c r="M527" s="78">
        <v>158.35477956142293</v>
      </c>
      <c r="N527" s="78">
        <v>5.7768072741614968E-4</v>
      </c>
      <c r="O527" s="78">
        <v>0.47500468659172201</v>
      </c>
      <c r="P527" s="78">
        <v>0.87064190289996735</v>
      </c>
      <c r="Q527" s="83">
        <v>0.32179764132593014</v>
      </c>
    </row>
    <row r="528" spans="10:17" ht="15" customHeight="1">
      <c r="J528" s="78">
        <v>26.888727138285212</v>
      </c>
      <c r="K528" s="78">
        <v>86.12826340081169</v>
      </c>
      <c r="L528" s="78">
        <v>24.328082713309954</v>
      </c>
      <c r="M528" s="78">
        <v>157.55470863175256</v>
      </c>
      <c r="N528" s="78">
        <v>0</v>
      </c>
      <c r="O528" s="78">
        <v>0.47353717613345708</v>
      </c>
      <c r="P528" s="78">
        <v>0.8662430759204951</v>
      </c>
      <c r="Q528" s="83">
        <v>0.32018967156496642</v>
      </c>
    </row>
    <row r="529" spans="10:17" ht="15" customHeight="1">
      <c r="J529" s="78">
        <v>26.940140723025195</v>
      </c>
      <c r="K529" s="78">
        <v>85.742821123430645</v>
      </c>
      <c r="L529" s="78">
        <v>24.031760146765379</v>
      </c>
      <c r="M529" s="78">
        <v>157.85103119829714</v>
      </c>
      <c r="N529" s="78">
        <v>5.7768072741614968E-4</v>
      </c>
      <c r="O529" s="78">
        <v>0.47141799666336748</v>
      </c>
      <c r="P529" s="78">
        <v>0.86787227109807741</v>
      </c>
      <c r="Q529" s="83">
        <v>0.31814787352406149</v>
      </c>
    </row>
    <row r="530" spans="10:17" ht="15" customHeight="1">
      <c r="J530" s="78">
        <v>26.991554307765185</v>
      </c>
      <c r="K530" s="78">
        <v>85.683335316962712</v>
      </c>
      <c r="L530" s="78">
        <v>24.979992359708007</v>
      </c>
      <c r="M530" s="78">
        <v>156.90279898535451</v>
      </c>
      <c r="N530" s="78">
        <v>0</v>
      </c>
      <c r="O530" s="78">
        <v>0.47109094094782661</v>
      </c>
      <c r="P530" s="78">
        <v>0.86265884652981428</v>
      </c>
      <c r="Q530" s="83">
        <v>0.31732147786534043</v>
      </c>
    </row>
    <row r="531" spans="10:17" ht="15" customHeight="1">
      <c r="J531" s="78">
        <v>27.042390211777757</v>
      </c>
      <c r="K531" s="78">
        <v>85.505324590364566</v>
      </c>
      <c r="L531" s="78">
        <v>24.772566563126787</v>
      </c>
      <c r="M531" s="78">
        <v>157.11022478193573</v>
      </c>
      <c r="N531" s="78">
        <v>0</v>
      </c>
      <c r="O531" s="78">
        <v>0.4701122297389117</v>
      </c>
      <c r="P531" s="78">
        <v>0.86379928315412191</v>
      </c>
      <c r="Q531" s="83">
        <v>0.31606669244940755</v>
      </c>
    </row>
    <row r="532" spans="10:17" ht="15" customHeight="1">
      <c r="J532" s="78">
        <v>27.094381477245154</v>
      </c>
      <c r="K532" s="78">
        <v>85.682897673786897</v>
      </c>
      <c r="L532" s="78">
        <v>24.120656916728734</v>
      </c>
      <c r="M532" s="78">
        <v>157.76213442833378</v>
      </c>
      <c r="N532" s="78">
        <v>5.7768072741614968E-4</v>
      </c>
      <c r="O532" s="78">
        <v>0.4710885347654023</v>
      </c>
      <c r="P532" s="78">
        <v>0.86738351254480284</v>
      </c>
      <c r="Q532" s="83">
        <v>0.31611558085200153</v>
      </c>
    </row>
    <row r="533" spans="10:17" ht="15" customHeight="1">
      <c r="J533" s="78">
        <v>27.145795061985144</v>
      </c>
      <c r="K533" s="78">
        <v>85.682681323770112</v>
      </c>
      <c r="L533" s="78">
        <v>24.357714969964434</v>
      </c>
      <c r="M533" s="78">
        <v>157.52507637509808</v>
      </c>
      <c r="N533" s="78">
        <v>0</v>
      </c>
      <c r="O533" s="78">
        <v>0.4710873452630025</v>
      </c>
      <c r="P533" s="78">
        <v>0.86608015640273672</v>
      </c>
      <c r="Q533" s="83">
        <v>0.31551606736682697</v>
      </c>
    </row>
    <row r="534" spans="10:17" ht="15" customHeight="1">
      <c r="J534" s="78">
        <v>27.19720864672513</v>
      </c>
      <c r="K534" s="78">
        <v>85.652834364812961</v>
      </c>
      <c r="L534" s="78">
        <v>24.742934306472364</v>
      </c>
      <c r="M534" s="78">
        <v>157.13985703859015</v>
      </c>
      <c r="N534" s="78">
        <v>5.7768072741614968E-4</v>
      </c>
      <c r="O534" s="78">
        <v>0.47092324530205282</v>
      </c>
      <c r="P534" s="78">
        <v>0.86396220267187995</v>
      </c>
      <c r="Q534" s="83">
        <v>0.31480987327861787</v>
      </c>
    </row>
    <row r="535" spans="10:17" ht="15" customHeight="1">
      <c r="J535" s="78">
        <v>27.248044550737699</v>
      </c>
      <c r="K535" s="78">
        <v>85.682255951597739</v>
      </c>
      <c r="L535" s="78">
        <v>25.543005236142733</v>
      </c>
      <c r="M535" s="78">
        <v>156.33978610891978</v>
      </c>
      <c r="N535" s="78">
        <v>0</v>
      </c>
      <c r="O535" s="78">
        <v>0.47108500654712276</v>
      </c>
      <c r="P535" s="78">
        <v>0.85956337569240782</v>
      </c>
      <c r="Q535" s="83">
        <v>0.31433051829967984</v>
      </c>
    </row>
    <row r="536" spans="10:17" ht="15" customHeight="1">
      <c r="J536" s="78">
        <v>27.299458135477689</v>
      </c>
      <c r="K536" s="78">
        <v>85.682044526209552</v>
      </c>
      <c r="L536" s="78">
        <v>24.831831076435748</v>
      </c>
      <c r="M536" s="78">
        <v>157.05096026862677</v>
      </c>
      <c r="N536" s="78">
        <v>0</v>
      </c>
      <c r="O536" s="78">
        <v>0.47108384412055881</v>
      </c>
      <c r="P536" s="78">
        <v>0.86347344411860516</v>
      </c>
      <c r="Q536" s="83">
        <v>0.31373775923473873</v>
      </c>
    </row>
    <row r="537" spans="10:17" ht="15" customHeight="1">
      <c r="J537" s="78">
        <v>27.351449400945082</v>
      </c>
      <c r="K537" s="78">
        <v>85.681832400843717</v>
      </c>
      <c r="L537" s="78">
        <v>24.831831076435748</v>
      </c>
      <c r="M537" s="78">
        <v>157.05096026862677</v>
      </c>
      <c r="N537" s="78">
        <v>1.1553614548316579E-3</v>
      </c>
      <c r="O537" s="78">
        <v>0.47108267784548535</v>
      </c>
      <c r="P537" s="78">
        <v>0.86347344411860516</v>
      </c>
      <c r="Q537" s="83">
        <v>0.31314061224538992</v>
      </c>
    </row>
    <row r="538" spans="10:17" ht="15" customHeight="1">
      <c r="J538" s="78">
        <v>27.402862985685069</v>
      </c>
      <c r="K538" s="78">
        <v>85.651992032742868</v>
      </c>
      <c r="L538" s="78">
        <v>24.683669793163432</v>
      </c>
      <c r="M538" s="78">
        <v>157.19912155189908</v>
      </c>
      <c r="N538" s="78">
        <v>1.7330421822471661E-3</v>
      </c>
      <c r="O538" s="78">
        <v>0.47091861412136843</v>
      </c>
      <c r="P538" s="78">
        <v>0.86428804170739648</v>
      </c>
      <c r="Q538" s="83">
        <v>0.31244419894641218</v>
      </c>
    </row>
    <row r="539" spans="10:17" ht="15" customHeight="1">
      <c r="J539" s="78">
        <v>27.454276570425058</v>
      </c>
      <c r="K539" s="78">
        <v>85.681417825665008</v>
      </c>
      <c r="L539" s="78">
        <v>23.913231120147543</v>
      </c>
      <c r="M539" s="78">
        <v>157.96956022491497</v>
      </c>
      <c r="N539" s="78">
        <v>5.7768072741614968E-4</v>
      </c>
      <c r="O539" s="78">
        <v>0.47108039849197619</v>
      </c>
      <c r="P539" s="78">
        <v>0.86852394916911035</v>
      </c>
      <c r="Q539" s="83">
        <v>0.31196626622896551</v>
      </c>
    </row>
    <row r="540" spans="10:17" ht="15" customHeight="1">
      <c r="J540" s="78">
        <v>27.505690155165041</v>
      </c>
      <c r="K540" s="78">
        <v>85.592316239683385</v>
      </c>
      <c r="L540" s="78">
        <v>24.950360103053583</v>
      </c>
      <c r="M540" s="78">
        <v>156.93243124200893</v>
      </c>
      <c r="N540" s="78">
        <v>-5.7768072741550837E-4</v>
      </c>
      <c r="O540" s="78">
        <v>0.47059051385075917</v>
      </c>
      <c r="P540" s="78">
        <v>0.86282176604757221</v>
      </c>
      <c r="Q540" s="83">
        <v>0.31105920072643872</v>
      </c>
    </row>
    <row r="541" spans="10:17" ht="15" customHeight="1">
      <c r="J541" s="78">
        <v>27.557103739905031</v>
      </c>
      <c r="K541" s="78">
        <v>85.592113071379217</v>
      </c>
      <c r="L541" s="78">
        <v>25.217050412943678</v>
      </c>
      <c r="M541" s="78">
        <v>156.66574093211884</v>
      </c>
      <c r="N541" s="78">
        <v>1.1553614548316579E-3</v>
      </c>
      <c r="O541" s="78">
        <v>0.47058939682202511</v>
      </c>
      <c r="P541" s="78">
        <v>0.86135549038774839</v>
      </c>
      <c r="Q541" s="83">
        <v>0.31047811696824501</v>
      </c>
    </row>
    <row r="542" spans="10:17" ht="15" customHeight="1">
      <c r="J542" s="78">
        <v>27.6079396439176</v>
      </c>
      <c r="K542" s="78">
        <v>85.295591239368036</v>
      </c>
      <c r="L542" s="78">
        <v>25.780063289378376</v>
      </c>
      <c r="M542" s="78">
        <v>156.10272805568414</v>
      </c>
      <c r="N542" s="78">
        <v>5.7768072741614968E-4</v>
      </c>
      <c r="O542" s="78">
        <v>0.46895910607369024</v>
      </c>
      <c r="P542" s="78">
        <v>0.85826001955034203</v>
      </c>
      <c r="Q542" s="83">
        <v>0.30883237231872246</v>
      </c>
    </row>
    <row r="543" spans="10:17" ht="15" customHeight="1">
      <c r="J543" s="78">
        <v>27.659930909385</v>
      </c>
      <c r="K543" s="78">
        <v>85.354653624677425</v>
      </c>
      <c r="L543" s="78">
        <v>24.683669793163432</v>
      </c>
      <c r="M543" s="78">
        <v>157.19912155189908</v>
      </c>
      <c r="N543" s="78">
        <v>5.7768072741614968E-4</v>
      </c>
      <c r="O543" s="78">
        <v>0.46928383380011562</v>
      </c>
      <c r="P543" s="78">
        <v>0.86428804170739648</v>
      </c>
      <c r="Q543" s="83">
        <v>0.3084654029522238</v>
      </c>
    </row>
    <row r="544" spans="10:17" ht="15" customHeight="1">
      <c r="J544" s="78">
        <v>27.71134449412499</v>
      </c>
      <c r="K544" s="78">
        <v>85.265558629552103</v>
      </c>
      <c r="L544" s="78">
        <v>25.631902006106088</v>
      </c>
      <c r="M544" s="78">
        <v>156.25088933895643</v>
      </c>
      <c r="N544" s="78">
        <v>1.7330421822471661E-3</v>
      </c>
      <c r="O544" s="78">
        <v>0.46879398539573142</v>
      </c>
      <c r="P544" s="78">
        <v>0.85907461713913313</v>
      </c>
      <c r="Q544" s="83">
        <v>0.30757158808691398</v>
      </c>
    </row>
    <row r="545" spans="10:17" ht="15" customHeight="1">
      <c r="J545" s="78">
        <v>27.762758078864973</v>
      </c>
      <c r="K545" s="78">
        <v>85.206097538795333</v>
      </c>
      <c r="L545" s="78">
        <v>25.602269749451636</v>
      </c>
      <c r="M545" s="78">
        <v>156.28052159561088</v>
      </c>
      <c r="N545" s="78">
        <v>1.1553614548316579E-3</v>
      </c>
      <c r="O545" s="78">
        <v>0.46846706556831375</v>
      </c>
      <c r="P545" s="78">
        <v>0.8592375366568914</v>
      </c>
      <c r="Q545" s="83">
        <v>0.30678782348681255</v>
      </c>
    </row>
    <row r="546" spans="10:17" ht="15" customHeight="1">
      <c r="J546" s="78">
        <v>27.814171663604959</v>
      </c>
      <c r="K546" s="78">
        <v>85.354063892333826</v>
      </c>
      <c r="L546" s="78">
        <v>25.424476209524897</v>
      </c>
      <c r="M546" s="78">
        <v>156.45831513553762</v>
      </c>
      <c r="N546" s="78">
        <v>1.1553614548316579E-3</v>
      </c>
      <c r="O546" s="78">
        <v>0.46928059142441181</v>
      </c>
      <c r="P546" s="78">
        <v>0.86021505376344065</v>
      </c>
      <c r="Q546" s="83">
        <v>0.30675271813052174</v>
      </c>
    </row>
    <row r="547" spans="10:17" ht="15" customHeight="1">
      <c r="J547" s="78">
        <v>27.865585248344949</v>
      </c>
      <c r="K547" s="78">
        <v>85.38350286696857</v>
      </c>
      <c r="L547" s="78">
        <v>24.713302049817912</v>
      </c>
      <c r="M547" s="78">
        <v>157.1694892952446</v>
      </c>
      <c r="N547" s="78">
        <v>1.1553614548316579E-3</v>
      </c>
      <c r="O547" s="78">
        <v>0.4694424482686852</v>
      </c>
      <c r="P547" s="78">
        <v>0.86412512218963811</v>
      </c>
      <c r="Q547" s="83">
        <v>0.30629238832621186</v>
      </c>
    </row>
    <row r="548" spans="10:17" ht="15" customHeight="1">
      <c r="J548" s="78">
        <v>27.916421152357518</v>
      </c>
      <c r="K548" s="78">
        <v>85.205519836777825</v>
      </c>
      <c r="L548" s="78">
        <v>24.979992359708007</v>
      </c>
      <c r="M548" s="78">
        <v>156.90279898535451</v>
      </c>
      <c r="N548" s="78">
        <v>0</v>
      </c>
      <c r="O548" s="78">
        <v>0.46846388933589928</v>
      </c>
      <c r="P548" s="78">
        <v>0.86265884652981428</v>
      </c>
      <c r="Q548" s="83">
        <v>0.30509707201794684</v>
      </c>
    </row>
    <row r="549" spans="10:17" ht="15" customHeight="1">
      <c r="J549" s="78">
        <v>27.968412417824918</v>
      </c>
      <c r="K549" s="78">
        <v>85.175695449490163</v>
      </c>
      <c r="L549" s="78">
        <v>25.543005236142733</v>
      </c>
      <c r="M549" s="78">
        <v>156.33978610891978</v>
      </c>
      <c r="N549" s="78">
        <v>5.7768072741614968E-4</v>
      </c>
      <c r="O549" s="78">
        <v>0.46829991347503247</v>
      </c>
      <c r="P549" s="78">
        <v>0.85956337569240782</v>
      </c>
      <c r="Q549" s="83">
        <v>0.30442328255461043</v>
      </c>
    </row>
    <row r="550" spans="10:17" ht="15" customHeight="1">
      <c r="J550" s="78">
        <v>28.019826002564901</v>
      </c>
      <c r="K550" s="78">
        <v>85.116242597303767</v>
      </c>
      <c r="L550" s="78">
        <v>25.513372979488281</v>
      </c>
      <c r="M550" s="78">
        <v>156.36941836557423</v>
      </c>
      <c r="N550" s="78">
        <v>0</v>
      </c>
      <c r="O550" s="78">
        <v>0.46797303894365583</v>
      </c>
      <c r="P550" s="78">
        <v>0.85972629521016597</v>
      </c>
      <c r="Q550" s="83">
        <v>0.30365251483281552</v>
      </c>
    </row>
    <row r="551" spans="10:17" ht="15" customHeight="1">
      <c r="J551" s="78">
        <v>28.071239587304888</v>
      </c>
      <c r="K551" s="78">
        <v>85.056791392831471</v>
      </c>
      <c r="L551" s="78">
        <v>25.839327802687308</v>
      </c>
      <c r="M551" s="78">
        <v>156.04346354237521</v>
      </c>
      <c r="N551" s="78">
        <v>0</v>
      </c>
      <c r="O551" s="78">
        <v>0.46764617347148751</v>
      </c>
      <c r="P551" s="78">
        <v>0.85793418051482551</v>
      </c>
      <c r="Q551" s="83">
        <v>0.30288457636386945</v>
      </c>
    </row>
    <row r="552" spans="10:17" ht="15" customHeight="1">
      <c r="J552" s="78">
        <v>28.12265317204487</v>
      </c>
      <c r="K552" s="78">
        <v>85.11587086269104</v>
      </c>
      <c r="L552" s="78">
        <v>25.572637492797156</v>
      </c>
      <c r="M552" s="78">
        <v>156.31015385226536</v>
      </c>
      <c r="N552" s="78">
        <v>-5.7768072741550837E-4</v>
      </c>
      <c r="O552" s="78">
        <v>0.46797099512956009</v>
      </c>
      <c r="P552" s="78">
        <v>0.85940045617464977</v>
      </c>
      <c r="Q552" s="83">
        <v>0.30254092333838001</v>
      </c>
    </row>
    <row r="553" spans="10:17" ht="15" customHeight="1">
      <c r="J553" s="78">
        <v>28.17406675678486</v>
      </c>
      <c r="K553" s="78">
        <v>84.789732643756736</v>
      </c>
      <c r="L553" s="78">
        <v>25.720798776069472</v>
      </c>
      <c r="M553" s="78">
        <v>156.16199256899304</v>
      </c>
      <c r="N553" s="78">
        <v>5.7768072741614968E-4</v>
      </c>
      <c r="O553" s="78">
        <v>0.46617787211598388</v>
      </c>
      <c r="P553" s="78">
        <v>0.85858585858585845</v>
      </c>
      <c r="Q553" s="83">
        <v>0.30083124699990105</v>
      </c>
    </row>
    <row r="554" spans="10:17" ht="15" customHeight="1">
      <c r="J554" s="78">
        <v>28.225480341524843</v>
      </c>
      <c r="K554" s="78">
        <v>84.848815409044505</v>
      </c>
      <c r="L554" s="78">
        <v>25.750431032723895</v>
      </c>
      <c r="M554" s="78">
        <v>156.13236031233862</v>
      </c>
      <c r="N554" s="78">
        <v>5.7768072741614968E-4</v>
      </c>
      <c r="O554" s="78">
        <v>0.46650271189247317</v>
      </c>
      <c r="P554" s="78">
        <v>0.85842293906810041</v>
      </c>
      <c r="Q554" s="83">
        <v>0.30049259780188453</v>
      </c>
    </row>
    <row r="555" spans="10:17" ht="15" customHeight="1">
      <c r="J555" s="78">
        <v>28.276893926264833</v>
      </c>
      <c r="K555" s="78">
        <v>84.819003052082934</v>
      </c>
      <c r="L555" s="78">
        <v>25.394843952870417</v>
      </c>
      <c r="M555" s="78">
        <v>156.4879473921921</v>
      </c>
      <c r="N555" s="78">
        <v>5.7768072741614968E-4</v>
      </c>
      <c r="O555" s="78">
        <v>0.46633880217489565</v>
      </c>
      <c r="P555" s="78">
        <v>0.86037797328119903</v>
      </c>
      <c r="Q555" s="83">
        <v>0.29984080636449956</v>
      </c>
    </row>
    <row r="556" spans="10:17" ht="15" customHeight="1">
      <c r="J556" s="78">
        <v>28.328307511004819</v>
      </c>
      <c r="K556" s="78">
        <v>84.848456856144381</v>
      </c>
      <c r="L556" s="78">
        <v>25.809695546032856</v>
      </c>
      <c r="M556" s="78">
        <v>156.07309579902966</v>
      </c>
      <c r="N556" s="78">
        <v>5.7768072741614968E-4</v>
      </c>
      <c r="O556" s="78">
        <v>0.46650074055204299</v>
      </c>
      <c r="P556" s="78">
        <v>0.85809710003258366</v>
      </c>
      <c r="Q556" s="83">
        <v>0.29940059262086033</v>
      </c>
    </row>
    <row r="557" spans="10:17" ht="15" customHeight="1">
      <c r="J557" s="78">
        <v>28.379721095744802</v>
      </c>
      <c r="K557" s="78">
        <v>84.70011876799316</v>
      </c>
      <c r="L557" s="78">
        <v>26.402340679121977</v>
      </c>
      <c r="M557" s="78">
        <v>155.48045066594054</v>
      </c>
      <c r="N557" s="78">
        <v>5.7768072741614968E-4</v>
      </c>
      <c r="O557" s="78">
        <v>0.46568517088184919</v>
      </c>
      <c r="P557" s="78">
        <v>0.85483870967741937</v>
      </c>
      <c r="Q557" s="83">
        <v>0.29833549876553106</v>
      </c>
    </row>
    <row r="558" spans="10:17" ht="15" customHeight="1">
      <c r="J558" s="78">
        <v>28.431134680484792</v>
      </c>
      <c r="K558" s="78">
        <v>84.699943610828285</v>
      </c>
      <c r="L558" s="78">
        <v>25.750431032723895</v>
      </c>
      <c r="M558" s="78">
        <v>156.13236031233862</v>
      </c>
      <c r="N558" s="78">
        <v>5.7768072741614968E-4</v>
      </c>
      <c r="O558" s="78">
        <v>0.46568420785965464</v>
      </c>
      <c r="P558" s="78">
        <v>0.85842293906810041</v>
      </c>
      <c r="Q558" s="83">
        <v>0.29779538619753859</v>
      </c>
    </row>
    <row r="559" spans="10:17" ht="15" customHeight="1">
      <c r="J559" s="78">
        <v>28.482548265224779</v>
      </c>
      <c r="K559" s="78">
        <v>84.670137844723016</v>
      </c>
      <c r="L559" s="78">
        <v>25.957856829305115</v>
      </c>
      <c r="M559" s="78">
        <v>155.9249345157574</v>
      </c>
      <c r="N559" s="78">
        <v>5.7768072741614968E-4</v>
      </c>
      <c r="O559" s="78">
        <v>0.46552033437890999</v>
      </c>
      <c r="P559" s="78">
        <v>0.85728250244379278</v>
      </c>
      <c r="Q559" s="83">
        <v>0.29715319278269225</v>
      </c>
    </row>
    <row r="560" spans="10:17" ht="15" customHeight="1">
      <c r="J560" s="78">
        <v>28.533961849964761</v>
      </c>
      <c r="K560" s="78">
        <v>84.72923049629523</v>
      </c>
      <c r="L560" s="78">
        <v>25.602269749451636</v>
      </c>
      <c r="M560" s="78">
        <v>156.28052159561088</v>
      </c>
      <c r="N560" s="78">
        <v>0</v>
      </c>
      <c r="O560" s="78">
        <v>0.46584522851064841</v>
      </c>
      <c r="P560" s="78">
        <v>0.8592375366568914</v>
      </c>
      <c r="Q560" s="83">
        <v>0.29682486663752083</v>
      </c>
    </row>
    <row r="561" spans="10:17" ht="15" customHeight="1">
      <c r="J561" s="78">
        <v>28.585375434704751</v>
      </c>
      <c r="K561" s="78">
        <v>84.640163512309215</v>
      </c>
      <c r="L561" s="78">
        <v>25.513372979488281</v>
      </c>
      <c r="M561" s="78">
        <v>156.36941836557423</v>
      </c>
      <c r="N561" s="78">
        <v>5.7768072741614968E-4</v>
      </c>
      <c r="O561" s="78">
        <v>0.46535553411280378</v>
      </c>
      <c r="P561" s="78">
        <v>0.85972629521016597</v>
      </c>
      <c r="Q561" s="83">
        <v>0.29597941582692677</v>
      </c>
    </row>
    <row r="562" spans="10:17" ht="15" customHeight="1">
      <c r="J562" s="78">
        <v>28.636789019444738</v>
      </c>
      <c r="K562" s="78">
        <v>84.580730432691738</v>
      </c>
      <c r="L562" s="78">
        <v>25.898592315996211</v>
      </c>
      <c r="M562" s="78">
        <v>155.9841990290663</v>
      </c>
      <c r="N562" s="78">
        <v>0</v>
      </c>
      <c r="O562" s="78">
        <v>0.46502876829192563</v>
      </c>
      <c r="P562" s="78">
        <v>0.85760834147930909</v>
      </c>
      <c r="Q562" s="83">
        <v>0.29524048274597664</v>
      </c>
    </row>
    <row r="563" spans="10:17" ht="15" customHeight="1">
      <c r="J563" s="78">
        <v>28.688202604184713</v>
      </c>
      <c r="K563" s="78">
        <v>84.610195770751716</v>
      </c>
      <c r="L563" s="78">
        <v>25.957856829305115</v>
      </c>
      <c r="M563" s="78">
        <v>155.9249345157574</v>
      </c>
      <c r="N563" s="78">
        <v>0</v>
      </c>
      <c r="O563" s="78">
        <v>0.46519077008353044</v>
      </c>
      <c r="P563" s="78">
        <v>0.85728250244379278</v>
      </c>
      <c r="Q563" s="83">
        <v>0.2948140761864193</v>
      </c>
    </row>
    <row r="564" spans="10:17" ht="15" customHeight="1">
      <c r="J564" s="78">
        <v>28.739616188924703</v>
      </c>
      <c r="K564" s="78">
        <v>84.461869216599013</v>
      </c>
      <c r="L564" s="78">
        <v>25.513372979488281</v>
      </c>
      <c r="M564" s="78">
        <v>156.36941836557423</v>
      </c>
      <c r="N564" s="78">
        <v>1.1553614548316579E-3</v>
      </c>
      <c r="O564" s="78">
        <v>0.46437526382779398</v>
      </c>
      <c r="P564" s="78">
        <v>0.85972629521016597</v>
      </c>
      <c r="Q564" s="83">
        <v>0.2937705652464444</v>
      </c>
    </row>
    <row r="565" spans="10:17" ht="15" customHeight="1">
      <c r="J565" s="78">
        <v>28.79102977366469</v>
      </c>
      <c r="K565" s="78">
        <v>84.432073336778231</v>
      </c>
      <c r="L565" s="78">
        <v>26.461605192430909</v>
      </c>
      <c r="M565" s="78">
        <v>155.42118615263161</v>
      </c>
      <c r="N565" s="78">
        <v>5.7768072741614968E-4</v>
      </c>
      <c r="O565" s="78">
        <v>0.46421144470229875</v>
      </c>
      <c r="P565" s="78">
        <v>0.85451287064190284</v>
      </c>
      <c r="Q565" s="83">
        <v>0.29314247427593559</v>
      </c>
    </row>
    <row r="566" spans="10:17" ht="15" customHeight="1">
      <c r="J566" s="78">
        <v>28.842443358404672</v>
      </c>
      <c r="K566" s="78">
        <v>84.431911361325987</v>
      </c>
      <c r="L566" s="78">
        <v>26.6690309890121</v>
      </c>
      <c r="M566" s="78">
        <v>155.21376035605041</v>
      </c>
      <c r="N566" s="78">
        <v>1.7330421822471661E-3</v>
      </c>
      <c r="O566" s="78">
        <v>0.46421055415376999</v>
      </c>
      <c r="P566" s="78">
        <v>0.85337243401759533</v>
      </c>
      <c r="Q566" s="83">
        <v>0.29261936661824467</v>
      </c>
    </row>
    <row r="567" spans="10:17" ht="15" customHeight="1">
      <c r="J567" s="78">
        <v>28.893856943144662</v>
      </c>
      <c r="K567" s="78">
        <v>84.253957493661062</v>
      </c>
      <c r="L567" s="78">
        <v>26.817192272284416</v>
      </c>
      <c r="M567" s="78">
        <v>155.0655990727781</v>
      </c>
      <c r="N567" s="78">
        <v>5.7768072741614968E-4</v>
      </c>
      <c r="O567" s="78">
        <v>0.46323215555789998</v>
      </c>
      <c r="P567" s="78">
        <v>0.85255783642880401</v>
      </c>
      <c r="Q567" s="83">
        <v>0.29148279293639584</v>
      </c>
    </row>
    <row r="568" spans="10:17" ht="15" customHeight="1">
      <c r="J568" s="78">
        <v>28.945270527884649</v>
      </c>
      <c r="K568" s="78">
        <v>84.283431070291414</v>
      </c>
      <c r="L568" s="78">
        <v>26.07638585592295</v>
      </c>
      <c r="M568" s="78">
        <v>155.80640548913956</v>
      </c>
      <c r="N568" s="78">
        <v>5.7768072741614968E-4</v>
      </c>
      <c r="O568" s="78">
        <v>0.46339420264554576</v>
      </c>
      <c r="P568" s="78">
        <v>0.85663082437275984</v>
      </c>
      <c r="Q568" s="83">
        <v>0.29106687636721923</v>
      </c>
    </row>
    <row r="569" spans="10:17" ht="15" customHeight="1">
      <c r="J569" s="78">
        <v>28.996684112624632</v>
      </c>
      <c r="K569" s="78">
        <v>84.224009524672468</v>
      </c>
      <c r="L569" s="78">
        <v>26.965353555556675</v>
      </c>
      <c r="M569" s="78">
        <v>154.91743778950584</v>
      </c>
      <c r="N569" s="78">
        <v>0</v>
      </c>
      <c r="O569" s="78">
        <v>0.46306750023912507</v>
      </c>
      <c r="P569" s="78">
        <v>0.85174323884001302</v>
      </c>
      <c r="Q569" s="83">
        <v>0.29034586475107027</v>
      </c>
    </row>
    <row r="570" spans="10:17" ht="15" customHeight="1">
      <c r="J570" s="78">
        <v>29.048097697364621</v>
      </c>
      <c r="K570" s="78">
        <v>84.253486396730978</v>
      </c>
      <c r="L570" s="78">
        <v>26.25417939584969</v>
      </c>
      <c r="M570" s="78">
        <v>155.62861194921283</v>
      </c>
      <c r="N570" s="78">
        <v>0</v>
      </c>
      <c r="O570" s="78">
        <v>0.46322956544518729</v>
      </c>
      <c r="P570" s="78">
        <v>0.85565330726621047</v>
      </c>
      <c r="Q570" s="83">
        <v>0.28993344412923661</v>
      </c>
    </row>
    <row r="571" spans="10:17" ht="15" customHeight="1">
      <c r="J571" s="78">
        <v>29.099511282104608</v>
      </c>
      <c r="K571" s="78">
        <v>84.164435889885738</v>
      </c>
      <c r="L571" s="78">
        <v>26.283811652504141</v>
      </c>
      <c r="M571" s="78">
        <v>155.59897969255837</v>
      </c>
      <c r="N571" s="78">
        <v>5.7768072741614968E-4</v>
      </c>
      <c r="O571" s="78">
        <v>0.46273996163942482</v>
      </c>
      <c r="P571" s="78">
        <v>0.85549038774845232</v>
      </c>
      <c r="Q571" s="83">
        <v>0.28911516343192945</v>
      </c>
    </row>
    <row r="572" spans="10:17" ht="15" customHeight="1">
      <c r="J572" s="78">
        <v>29.150924866844598</v>
      </c>
      <c r="K572" s="78">
        <v>84.223548314026871</v>
      </c>
      <c r="L572" s="78">
        <v>25.898592315996211</v>
      </c>
      <c r="M572" s="78">
        <v>155.9841990290663</v>
      </c>
      <c r="N572" s="78">
        <v>5.7768072741614968E-4</v>
      </c>
      <c r="O572" s="78">
        <v>0.46306496448166179</v>
      </c>
      <c r="P572" s="78">
        <v>0.85760834147930909</v>
      </c>
      <c r="Q572" s="83">
        <v>0.28880803065375837</v>
      </c>
    </row>
    <row r="573" spans="10:17" ht="15" customHeight="1">
      <c r="J573" s="78">
        <v>29.202338451584581</v>
      </c>
      <c r="K573" s="78">
        <v>84.134501102609789</v>
      </c>
      <c r="L573" s="78">
        <v>26.580134219048716</v>
      </c>
      <c r="M573" s="78">
        <v>155.3026571260138</v>
      </c>
      <c r="N573" s="78">
        <v>1.1553614548316579E-3</v>
      </c>
      <c r="O573" s="78">
        <v>0.46257537879431576</v>
      </c>
      <c r="P573" s="78">
        <v>0.85386119257087001</v>
      </c>
      <c r="Q573" s="83">
        <v>0.28799462396926645</v>
      </c>
    </row>
    <row r="574" spans="10:17" ht="15" customHeight="1">
      <c r="J574" s="78">
        <v>29.253752036324563</v>
      </c>
      <c r="K574" s="78">
        <v>84.015823282252327</v>
      </c>
      <c r="L574" s="78">
        <v>26.846824528938839</v>
      </c>
      <c r="M574" s="78">
        <v>155.03596681612368</v>
      </c>
      <c r="N574" s="78">
        <v>5.7768072741614968E-4</v>
      </c>
      <c r="O574" s="78">
        <v>0.46192288264841974</v>
      </c>
      <c r="P574" s="78">
        <v>0.85239491691104596</v>
      </c>
      <c r="Q574" s="83">
        <v>0.28708278818127153</v>
      </c>
    </row>
    <row r="575" spans="10:17" ht="15" customHeight="1">
      <c r="J575" s="78">
        <v>29.30516562106455</v>
      </c>
      <c r="K575" s="78">
        <v>84.104572906190128</v>
      </c>
      <c r="L575" s="78">
        <v>25.720798776069472</v>
      </c>
      <c r="M575" s="78">
        <v>156.16199256899304</v>
      </c>
      <c r="N575" s="78">
        <v>1.7330421822471661E-3</v>
      </c>
      <c r="O575" s="78">
        <v>0.46241083218603946</v>
      </c>
      <c r="P575" s="78">
        <v>0.85858585858585845</v>
      </c>
      <c r="Q575" s="83">
        <v>0.28688197058686293</v>
      </c>
    </row>
    <row r="576" spans="10:17" ht="15" customHeight="1">
      <c r="J576" s="78">
        <v>29.356001525077126</v>
      </c>
      <c r="K576" s="78">
        <v>84.045164520229378</v>
      </c>
      <c r="L576" s="78">
        <v>26.698663245666552</v>
      </c>
      <c r="M576" s="78">
        <v>155.18412809939596</v>
      </c>
      <c r="N576" s="78">
        <v>0</v>
      </c>
      <c r="O576" s="78">
        <v>0.46208420213202822</v>
      </c>
      <c r="P576" s="78">
        <v>0.85320951449983706</v>
      </c>
      <c r="Q576" s="83">
        <v>0.28618280374364569</v>
      </c>
    </row>
    <row r="577" spans="10:17" ht="15" customHeight="1">
      <c r="J577" s="78">
        <v>29.407992790544519</v>
      </c>
      <c r="K577" s="78">
        <v>83.956122274008948</v>
      </c>
      <c r="L577" s="78">
        <v>26.698663245666552</v>
      </c>
      <c r="M577" s="78">
        <v>155.18412809939596</v>
      </c>
      <c r="N577" s="78">
        <v>5.7768072741614968E-4</v>
      </c>
      <c r="O577" s="78">
        <v>0.46159464374356307</v>
      </c>
      <c r="P577" s="78">
        <v>0.85320951449983706</v>
      </c>
      <c r="Q577" s="83">
        <v>0.28537407018222671</v>
      </c>
    </row>
    <row r="578" spans="10:17" ht="15" customHeight="1">
      <c r="J578" s="78">
        <v>29.459406375284509</v>
      </c>
      <c r="K578" s="78">
        <v>84.015244584434527</v>
      </c>
      <c r="L578" s="78">
        <v>26.609766475703196</v>
      </c>
      <c r="M578" s="78">
        <v>155.27302486935932</v>
      </c>
      <c r="N578" s="78">
        <v>0</v>
      </c>
      <c r="O578" s="78">
        <v>0.46191970094104917</v>
      </c>
      <c r="P578" s="78">
        <v>0.85369827305311174</v>
      </c>
      <c r="Q578" s="83">
        <v>0.28507671616274105</v>
      </c>
    </row>
    <row r="579" spans="10:17" ht="15" customHeight="1">
      <c r="J579" s="78">
        <v>29.510819960024492</v>
      </c>
      <c r="K579" s="78">
        <v>83.95583951595637</v>
      </c>
      <c r="L579" s="78">
        <v>26.935721298902251</v>
      </c>
      <c r="M579" s="78">
        <v>154.94707004616026</v>
      </c>
      <c r="N579" s="78">
        <v>0</v>
      </c>
      <c r="O579" s="78">
        <v>0.46159308912671071</v>
      </c>
      <c r="P579" s="78">
        <v>0.85190615835777106</v>
      </c>
      <c r="Q579" s="83">
        <v>0.28437875782815242</v>
      </c>
    </row>
    <row r="580" spans="10:17" ht="15" customHeight="1">
      <c r="J580" s="78">
        <v>29.562233544764478</v>
      </c>
      <c r="K580" s="78">
        <v>83.926068351846709</v>
      </c>
      <c r="L580" s="78">
        <v>26.343076165813073</v>
      </c>
      <c r="M580" s="78">
        <v>155.53971517924944</v>
      </c>
      <c r="N580" s="78">
        <v>0</v>
      </c>
      <c r="O580" s="78">
        <v>0.46142940588933845</v>
      </c>
      <c r="P580" s="78">
        <v>0.85516454871293579</v>
      </c>
      <c r="Q580" s="83">
        <v>0.28378346966265672</v>
      </c>
    </row>
    <row r="581" spans="10:17" ht="15" customHeight="1">
      <c r="J581" s="78">
        <v>29.613647129504468</v>
      </c>
      <c r="K581" s="78">
        <v>83.95556334876008</v>
      </c>
      <c r="L581" s="78">
        <v>26.283811652504141</v>
      </c>
      <c r="M581" s="78">
        <v>155.59897969255837</v>
      </c>
      <c r="N581" s="78">
        <v>5.7768072741614968E-4</v>
      </c>
      <c r="O581" s="78">
        <v>0.4615915707466911</v>
      </c>
      <c r="P581" s="78">
        <v>0.85549038774845232</v>
      </c>
      <c r="Q581" s="83">
        <v>0.28339037975640285</v>
      </c>
    </row>
    <row r="582" spans="10:17" ht="15" customHeight="1">
      <c r="J582" s="78">
        <v>29.665060714244451</v>
      </c>
      <c r="K582" s="78">
        <v>83.925795480078591</v>
      </c>
      <c r="L582" s="78">
        <v>26.165282625886306</v>
      </c>
      <c r="M582" s="78">
        <v>155.71750871917621</v>
      </c>
      <c r="N582" s="78">
        <v>5.7768072741614968E-4</v>
      </c>
      <c r="O582" s="78">
        <v>0.46142790562773539</v>
      </c>
      <c r="P582" s="78">
        <v>0.85614206581948527</v>
      </c>
      <c r="Q582" s="83">
        <v>0.28279887912401663</v>
      </c>
    </row>
    <row r="583" spans="10:17" ht="15" customHeight="1">
      <c r="J583" s="78">
        <v>29.716474298984437</v>
      </c>
      <c r="K583" s="78">
        <v>83.925661515765654</v>
      </c>
      <c r="L583" s="78">
        <v>25.987489085959567</v>
      </c>
      <c r="M583" s="78">
        <v>155.89530225910295</v>
      </c>
      <c r="N583" s="78">
        <v>5.7768072741614968E-4</v>
      </c>
      <c r="O583" s="78">
        <v>0.46142716908574621</v>
      </c>
      <c r="P583" s="78">
        <v>0.85711958292603452</v>
      </c>
      <c r="Q583" s="83">
        <v>0.28230914738730101</v>
      </c>
    </row>
    <row r="584" spans="10:17" ht="15" customHeight="1">
      <c r="J584" s="78">
        <v>29.767887883724427</v>
      </c>
      <c r="K584" s="78">
        <v>83.955161455821226</v>
      </c>
      <c r="L584" s="78">
        <v>26.313443909158622</v>
      </c>
      <c r="M584" s="78">
        <v>155.56934743590389</v>
      </c>
      <c r="N584" s="78">
        <v>1.1553614548316579E-3</v>
      </c>
      <c r="O584" s="78">
        <v>0.4615893611207233</v>
      </c>
      <c r="P584" s="78">
        <v>0.85532746823069394</v>
      </c>
      <c r="Q584" s="83">
        <v>0.2819206572360452</v>
      </c>
    </row>
    <row r="585" spans="10:17" ht="15" customHeight="1">
      <c r="J585" s="78">
        <v>29.81930146846441</v>
      </c>
      <c r="K585" s="78">
        <v>83.747604990355214</v>
      </c>
      <c r="L585" s="78">
        <v>26.194914882540786</v>
      </c>
      <c r="M585" s="78">
        <v>155.68787646252173</v>
      </c>
      <c r="N585" s="78">
        <v>1.1553614548316579E-3</v>
      </c>
      <c r="O585" s="78">
        <v>0.46044820607284281</v>
      </c>
      <c r="P585" s="78">
        <v>0.85597914630172689</v>
      </c>
      <c r="Q585" s="83">
        <v>0.28073853034468799</v>
      </c>
    </row>
    <row r="586" spans="10:17" ht="15" customHeight="1">
      <c r="J586" s="78">
        <v>29.870715053204393</v>
      </c>
      <c r="K586" s="78">
        <v>83.95490176576574</v>
      </c>
      <c r="L586" s="78">
        <v>26.135650369231911</v>
      </c>
      <c r="M586" s="78">
        <v>155.7471409758306</v>
      </c>
      <c r="N586" s="78">
        <v>1.1553614548316579E-3</v>
      </c>
      <c r="O586" s="78">
        <v>0.46158793333278597</v>
      </c>
      <c r="P586" s="78">
        <v>0.85630498533724309</v>
      </c>
      <c r="Q586" s="83">
        <v>0.28094930210928026</v>
      </c>
    </row>
    <row r="587" spans="10:17" ht="15" customHeight="1">
      <c r="J587" s="78">
        <v>29.922128637944382</v>
      </c>
      <c r="K587" s="78">
        <v>84.014038905617994</v>
      </c>
      <c r="L587" s="78">
        <v>25.809695546032856</v>
      </c>
      <c r="M587" s="78">
        <v>156.07309579902966</v>
      </c>
      <c r="N587" s="78">
        <v>1.1553614548316579E-3</v>
      </c>
      <c r="O587" s="78">
        <v>0.46191307206314591</v>
      </c>
      <c r="P587" s="78">
        <v>0.85809710003258366</v>
      </c>
      <c r="Q587" s="83">
        <v>0.28066419883773053</v>
      </c>
    </row>
    <row r="588" spans="10:17" ht="15" customHeight="1">
      <c r="J588" s="78">
        <v>29.973542222684369</v>
      </c>
      <c r="K588" s="78">
        <v>84.043545436529882</v>
      </c>
      <c r="L588" s="78">
        <v>25.868960059341731</v>
      </c>
      <c r="M588" s="78">
        <v>156.01383128572078</v>
      </c>
      <c r="N588" s="78">
        <v>1.1553614548316579E-3</v>
      </c>
      <c r="O588" s="78">
        <v>0.46207530033495592</v>
      </c>
      <c r="P588" s="78">
        <v>0.85777126099706746</v>
      </c>
      <c r="Q588" s="83">
        <v>0.28028121776082104</v>
      </c>
    </row>
    <row r="589" spans="10:17" ht="15" customHeight="1">
      <c r="J589" s="78">
        <v>30.024955807424352</v>
      </c>
      <c r="K589" s="78">
        <v>83.806363305265748</v>
      </c>
      <c r="L589" s="78">
        <v>25.957856829305115</v>
      </c>
      <c r="M589" s="78">
        <v>155.9249345157574</v>
      </c>
      <c r="N589" s="78">
        <v>0</v>
      </c>
      <c r="O589" s="78">
        <v>0.46077126200615021</v>
      </c>
      <c r="P589" s="78">
        <v>0.85728250244379278</v>
      </c>
      <c r="Q589" s="83">
        <v>0.27901132495860231</v>
      </c>
    </row>
    <row r="590" spans="10:17" ht="15" customHeight="1">
      <c r="J590" s="78">
        <v>30.076369392164338</v>
      </c>
      <c r="K590" s="78">
        <v>83.895137644914698</v>
      </c>
      <c r="L590" s="78">
        <v>25.928224572650663</v>
      </c>
      <c r="M590" s="78">
        <v>155.95456677241185</v>
      </c>
      <c r="N590" s="78">
        <v>1.1553614548316579E-3</v>
      </c>
      <c r="O590" s="78">
        <v>0.46125934743189301</v>
      </c>
      <c r="P590" s="78">
        <v>0.85744542196155094</v>
      </c>
      <c r="Q590" s="83">
        <v>0.27882953644673136</v>
      </c>
    </row>
  </sheetData>
  <phoneticPr fontId="10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8D7B3CD-DE2F-4410-AB9D-E4E3C9EFCE59}">
  <ds:schemaRefs>
    <ds:schemaRef ds:uri="http://purl.org/dc/terms/"/>
    <ds:schemaRef ds:uri="6fe47c77-cd38-4c52-a84f-d420f5256c07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15408762-0b69-41f9-a92a-add288971505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FF41B7ED-B65D-4BB6-A80B-EAF3B430EBD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DC94AC0F-62C8-441A-80EB-869BBEC5C67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3</vt:i4>
      </vt:variant>
    </vt:vector>
  </HeadingPairs>
  <TitlesOfParts>
    <vt:vector size="9" baseType="lpstr">
      <vt:lpstr>General</vt:lpstr>
      <vt:lpstr>Consolidation - 1</vt:lpstr>
      <vt:lpstr>Consolidation - 2</vt:lpstr>
      <vt:lpstr>Cyclic Preshear</vt:lpstr>
      <vt:lpstr>Consolidation - 3</vt:lpstr>
      <vt:lpstr>Shearing</vt:lpstr>
      <vt:lpstr>'Consolidation - 2'!D39979A1</vt:lpstr>
      <vt:lpstr>'Consolidation - 3'!D39979A1</vt:lpstr>
      <vt:lpstr>D39979A1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Singh, Shailesh</dc:creator>
  <cp:lastModifiedBy>Moseman, Quinty</cp:lastModifiedBy>
  <dcterms:created xsi:type="dcterms:W3CDTF">2019-07-10T11:42:33Z</dcterms:created>
  <dcterms:modified xsi:type="dcterms:W3CDTF">2025-06-30T11:24:22Z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